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denliste 31.12.2024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<sst xmlns="http://schemas.openxmlformats.org/spreadsheetml/2006/main" count="242" uniqueCount="165">
  <si>
    <t xml:space="preserve">Beispiel Dämmstoffe GmbH, Musterstadt</t>
  </si>
  <si>
    <t xml:space="preserve">Summen- und Saldenliste per 31.12.2024 (Schlusssalden)</t>
  </si>
  <si>
    <t xml:space="preserve">Quelle: Microsoft Dynamics 365 Finance; nur bebuchte Bilanzkonten; Beträge in EUR</t>
  </si>
  <si>
    <t xml:space="preserve">Konto</t>
  </si>
  <si>
    <t xml:space="preserve">Bezeichnung</t>
  </si>
  <si>
    <t xml:space="preserve">Kontenart</t>
  </si>
  <si>
    <t xml:space="preserve">Saldo 31.12.2024</t>
  </si>
  <si>
    <t xml:space="preserve">012000</t>
  </si>
  <si>
    <t xml:space="preserve">Software (EDV-Programme)</t>
  </si>
  <si>
    <t xml:space="preserve">Bilanz</t>
  </si>
  <si>
    <t xml:space="preserve">020000</t>
  </si>
  <si>
    <t xml:space="preserve">Grundstücke</t>
  </si>
  <si>
    <t xml:space="preserve">020010</t>
  </si>
  <si>
    <t xml:space="preserve">Grundstückseinrichtungen</t>
  </si>
  <si>
    <t xml:space="preserve">021000</t>
  </si>
  <si>
    <t xml:space="preserve">Gebäude inkl. Außenanlagen</t>
  </si>
  <si>
    <t xml:space="preserve">040000</t>
  </si>
  <si>
    <t xml:space="preserve">Maschinen u. maschinelle Anlagen</t>
  </si>
  <si>
    <t xml:space="preserve">040010</t>
  </si>
  <si>
    <t xml:space="preserve">Werkzeuge</t>
  </si>
  <si>
    <t xml:space="preserve">060000</t>
  </si>
  <si>
    <t xml:space="preserve">Betriebs- u. Geschäftsausstattung</t>
  </si>
  <si>
    <t xml:space="preserve">062000</t>
  </si>
  <si>
    <t xml:space="preserve">EDV-Hardware</t>
  </si>
  <si>
    <t xml:space="preserve">063000</t>
  </si>
  <si>
    <t xml:space="preserve">PKW</t>
  </si>
  <si>
    <t xml:space="preserve">064000</t>
  </si>
  <si>
    <t xml:space="preserve">LKW, Stapler u. sonstige Fahrzeuge</t>
  </si>
  <si>
    <t xml:space="preserve">071000</t>
  </si>
  <si>
    <t xml:space="preserve">In Bau befindliche Anlagen</t>
  </si>
  <si>
    <t xml:space="preserve">110000</t>
  </si>
  <si>
    <t xml:space="preserve">Vorrat Rohmaterial Polystyrol</t>
  </si>
  <si>
    <t xml:space="preserve">110100</t>
  </si>
  <si>
    <t xml:space="preserve">Vorrat Rohmaterial Additive</t>
  </si>
  <si>
    <t xml:space="preserve">110200</t>
  </si>
  <si>
    <t xml:space="preserve">Vorrat Rohmaterial Treibgase</t>
  </si>
  <si>
    <t xml:space="preserve">110700</t>
  </si>
  <si>
    <t xml:space="preserve">Vorrat Rohmaterial sonstiges</t>
  </si>
  <si>
    <t xml:space="preserve">111000</t>
  </si>
  <si>
    <t xml:space="preserve">Vorrat Hilfsmaterial</t>
  </si>
  <si>
    <t xml:space="preserve">140000</t>
  </si>
  <si>
    <t xml:space="preserve">Vorrat Verpackungsmaterial</t>
  </si>
  <si>
    <t xml:space="preserve">150000</t>
  </si>
  <si>
    <t xml:space="preserve">Vorrat unfertige Erzeugnisse Planer XTB</t>
  </si>
  <si>
    <t xml:space="preserve">150100</t>
  </si>
  <si>
    <t xml:space="preserve">Vorrat unfertige Erzeugnisse XPS</t>
  </si>
  <si>
    <t xml:space="preserve">160000</t>
  </si>
  <si>
    <t xml:space="preserve">Vorrat Fertigerzeugnisse XPS</t>
  </si>
  <si>
    <t xml:space="preserve">160100</t>
  </si>
  <si>
    <t xml:space="preserve">Vorrat Fertigerzeugnisse XTB</t>
  </si>
  <si>
    <t xml:space="preserve">169001</t>
  </si>
  <si>
    <t xml:space="preserve">WIP Materialkosten</t>
  </si>
  <si>
    <t xml:space="preserve">169009</t>
  </si>
  <si>
    <t xml:space="preserve">WIP Fertigerzeugnisse/unfertige Erzeugnisse</t>
  </si>
  <si>
    <t xml:space="preserve">170000</t>
  </si>
  <si>
    <t xml:space="preserve">Vorrat Handelsware</t>
  </si>
  <si>
    <t xml:space="preserve">173000</t>
  </si>
  <si>
    <t xml:space="preserve">Vorrat Handelsware UNI</t>
  </si>
  <si>
    <t xml:space="preserve">175000</t>
  </si>
  <si>
    <t xml:space="preserve">Vorrat Handelsware XPS</t>
  </si>
  <si>
    <t xml:space="preserve">180000</t>
  </si>
  <si>
    <t xml:space="preserve">Vorrat Ersatzteillager</t>
  </si>
  <si>
    <t xml:space="preserve">230000</t>
  </si>
  <si>
    <t xml:space="preserve">Forderungen aus L.u.L. Inland Dritte</t>
  </si>
  <si>
    <t xml:space="preserve">230100</t>
  </si>
  <si>
    <t xml:space="preserve">Forderungen aus L.u.L. Inland ggü IC</t>
  </si>
  <si>
    <t xml:space="preserve">231000</t>
  </si>
  <si>
    <t xml:space="preserve">Forderungen aus L.u.L. Ausland Dritte</t>
  </si>
  <si>
    <t xml:space="preserve">231100</t>
  </si>
  <si>
    <t xml:space="preserve">Forderungen aus L.u.L. Ausland ggü IC</t>
  </si>
  <si>
    <t xml:space="preserve">240000</t>
  </si>
  <si>
    <t xml:space="preserve">Geleistete Anzahlungen</t>
  </si>
  <si>
    <t xml:space="preserve">247000</t>
  </si>
  <si>
    <t xml:space="preserve">Vorsteuer</t>
  </si>
  <si>
    <t xml:space="preserve">247210</t>
  </si>
  <si>
    <t xml:space="preserve">Vorsteuer Luxemburg 17 %</t>
  </si>
  <si>
    <t xml:space="preserve">247900</t>
  </si>
  <si>
    <t xml:space="preserve">Vorsteuer Reverse Charge EU</t>
  </si>
  <si>
    <t xml:space="preserve">260000</t>
  </si>
  <si>
    <t xml:space="preserve">Sonstige Forderungen</t>
  </si>
  <si>
    <t xml:space="preserve">270030</t>
  </si>
  <si>
    <t xml:space="preserve">Kasse MS</t>
  </si>
  <si>
    <t xml:space="preserve">271000</t>
  </si>
  <si>
    <t xml:space="preserve">Musterbank Nord, KK, 2577588553</t>
  </si>
  <si>
    <t xml:space="preserve">272000</t>
  </si>
  <si>
    <t xml:space="preserve">Musterbank Süd, KK, DE17392332146881973699</t>
  </si>
  <si>
    <t xml:space="preserve">273000</t>
  </si>
  <si>
    <t xml:space="preserve">Musterbank Süd, KK, 74307325620</t>
  </si>
  <si>
    <t xml:space="preserve">274000</t>
  </si>
  <si>
    <t xml:space="preserve">Regionalbank Mitte, KK, AT486327295181756048</t>
  </si>
  <si>
    <t xml:space="preserve">275000</t>
  </si>
  <si>
    <t xml:space="preserve">Kreisbank Musterstadt, GK 1750722638</t>
  </si>
  <si>
    <t xml:space="preserve">290000</t>
  </si>
  <si>
    <t xml:space="preserve">Aktive Rechnungsabgrenzung</t>
  </si>
  <si>
    <t xml:space="preserve">302400</t>
  </si>
  <si>
    <t xml:space="preserve">Rückstellung für Gewerbesteuer</t>
  </si>
  <si>
    <t xml:space="preserve">303000</t>
  </si>
  <si>
    <t xml:space="preserve">Rückstellung nicht konsumierte Urlaube</t>
  </si>
  <si>
    <t xml:space="preserve">303600</t>
  </si>
  <si>
    <t xml:space="preserve">Rückstellung Zeitkonto</t>
  </si>
  <si>
    <t xml:space="preserve">304500</t>
  </si>
  <si>
    <t xml:space="preserve">Rückstellung für Sonderzahlungen</t>
  </si>
  <si>
    <t xml:space="preserve">305010</t>
  </si>
  <si>
    <t xml:space="preserve">Rückstellung für Berufsgenossenschaft</t>
  </si>
  <si>
    <t xml:space="preserve">308000</t>
  </si>
  <si>
    <t xml:space="preserve">Rückstellung Beratungskosten</t>
  </si>
  <si>
    <t xml:space="preserve">310000</t>
  </si>
  <si>
    <t xml:space="preserve">Rückstellung Sonstiges</t>
  </si>
  <si>
    <t xml:space="preserve">330000</t>
  </si>
  <si>
    <t xml:space="preserve">Verbindlichkeiten aus L.u.L. Inland Dritte</t>
  </si>
  <si>
    <t xml:space="preserve">330100</t>
  </si>
  <si>
    <t xml:space="preserve">Verbindlichkeiten aus L.u.L. Inland ggü IC</t>
  </si>
  <si>
    <t xml:space="preserve">331000</t>
  </si>
  <si>
    <t xml:space="preserve">Verbindlichkeiten aus L.u.L. Ausland Dritte</t>
  </si>
  <si>
    <t xml:space="preserve">331100</t>
  </si>
  <si>
    <t xml:space="preserve">Verbindlichkeiten aus L.u.L. Ausland ggü IC</t>
  </si>
  <si>
    <t xml:space="preserve">331900</t>
  </si>
  <si>
    <t xml:space="preserve">Einkauf Abgrenzung (WEORE)</t>
  </si>
  <si>
    <t xml:space="preserve">331910</t>
  </si>
  <si>
    <t xml:space="preserve">Einkaufsaufwendungen, nicht fakturiert</t>
  </si>
  <si>
    <t xml:space="preserve">331920</t>
  </si>
  <si>
    <t xml:space="preserve">Abgrenzung Frachtkosten</t>
  </si>
  <si>
    <t xml:space="preserve">331930</t>
  </si>
  <si>
    <t xml:space="preserve">Zwischenkonto Preiskorrektur</t>
  </si>
  <si>
    <t xml:space="preserve">332000</t>
  </si>
  <si>
    <t xml:space="preserve">Kreditorische Debitoren Dritte</t>
  </si>
  <si>
    <t xml:space="preserve">335000</t>
  </si>
  <si>
    <t xml:space="preserve">Erhaltene nicht abgerechnete Lieferungen u. Leistungen</t>
  </si>
  <si>
    <t xml:space="preserve">347410</t>
  </si>
  <si>
    <t xml:space="preserve">Umsatzsteuer Luxemburg FULL</t>
  </si>
  <si>
    <t xml:space="preserve">347900</t>
  </si>
  <si>
    <t xml:space="preserve">Umsatzsteuer Reverse Charge EU</t>
  </si>
  <si>
    <t xml:space="preserve">348100</t>
  </si>
  <si>
    <t xml:space="preserve">Verrechnung Umsatzsteuerzahllast Vorjahre</t>
  </si>
  <si>
    <t xml:space="preserve">350000</t>
  </si>
  <si>
    <t xml:space="preserve">Verrechnung Lohn- und Gehalt</t>
  </si>
  <si>
    <t xml:space="preserve">351000</t>
  </si>
  <si>
    <t xml:space="preserve">Verrechnung Lohnsteuer</t>
  </si>
  <si>
    <t xml:space="preserve">352010</t>
  </si>
  <si>
    <t xml:space="preserve">Verrechnung VWL</t>
  </si>
  <si>
    <t xml:space="preserve">354000</t>
  </si>
  <si>
    <t xml:space="preserve">Verrechnung Sozialversicherungsbeiträge</t>
  </si>
  <si>
    <t xml:space="preserve">369200</t>
  </si>
  <si>
    <t xml:space="preserve">Verrechnung Kreditkarte LPE</t>
  </si>
  <si>
    <t xml:space="preserve">369300</t>
  </si>
  <si>
    <t xml:space="preserve">Verrechnung Kreditkarte ASI</t>
  </si>
  <si>
    <t xml:space="preserve">370000</t>
  </si>
  <si>
    <t xml:space="preserve">Sonstige Verbindlichkeiten</t>
  </si>
  <si>
    <t xml:space="preserve">370600</t>
  </si>
  <si>
    <t xml:space="preserve">Sonstige Verbindlichkeiten Konzern Holding</t>
  </si>
  <si>
    <t xml:space="preserve">910000</t>
  </si>
  <si>
    <t xml:space="preserve">Stammkapital</t>
  </si>
  <si>
    <t xml:space="preserve">921000</t>
  </si>
  <si>
    <t xml:space="preserve">Nicht gebundene Kapitalrücklagen</t>
  </si>
  <si>
    <t xml:space="preserve">941000</t>
  </si>
  <si>
    <t xml:space="preserve">Gewinnausschüttungen</t>
  </si>
  <si>
    <t xml:space="preserve">945000</t>
  </si>
  <si>
    <t xml:space="preserve">Jahresgewinn/Jahresverlust</t>
  </si>
  <si>
    <t xml:space="preserve">960000</t>
  </si>
  <si>
    <t xml:space="preserve">Sonderförderung Bund/Land, div.</t>
  </si>
  <si>
    <t xml:space="preserve">960100</t>
  </si>
  <si>
    <t xml:space="preserve">Sonderförderung Bund/Land Inv.-Zulage</t>
  </si>
  <si>
    <t xml:space="preserve">980000</t>
  </si>
  <si>
    <t xml:space="preserve">Gewinn- und Verlustkonto</t>
  </si>
  <si>
    <t xml:space="preserve">Summe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</si>
</sst>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;\(#,##0.00\);\-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CC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6"/>
    <col collapsed="false" customWidth="true" hidden="false" outlineLevel="0" max="3" min="3" style="0" width="20"/>
    <col collapsed="false" customWidth="true" hidden="false" outlineLevel="0" max="4" min="4" style="0" width="18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</row>
    <row r="6" customFormat="false" ht="15" hidden="false" customHeight="false" outlineLevel="0" collapsed="false">
      <c r="A6" s="5" t="s">
        <v>7</v>
      </c>
      <c r="B6" s="5" t="s">
        <v>8</v>
      </c>
      <c r="C6" s="5" t="s">
        <v>9</v>
      </c>
      <c r="D6" s="6" t="n">
        <v>452320.75</v>
      </c>
    </row>
    <row r="7" customFormat="false" ht="15" hidden="false" customHeight="false" outlineLevel="0" collapsed="false">
      <c r="A7" s="5" t="s">
        <v>10</v>
      </c>
      <c r="B7" s="5" t="s">
        <v>11</v>
      </c>
      <c r="C7" s="5" t="s">
        <v>9</v>
      </c>
      <c r="D7" s="6" t="n">
        <v>1369728.73</v>
      </c>
    </row>
    <row r="8" customFormat="false" ht="15" hidden="false" customHeight="false" outlineLevel="0" collapsed="false">
      <c r="A8" s="5" t="s">
        <v>12</v>
      </c>
      <c r="B8" s="5" t="s">
        <v>13</v>
      </c>
      <c r="C8" s="5" t="s">
        <v>9</v>
      </c>
      <c r="D8" s="6" t="n">
        <v>2738198.57</v>
      </c>
    </row>
    <row r="9" customFormat="false" ht="15" hidden="false" customHeight="false" outlineLevel="0" collapsed="false">
      <c r="A9" s="5" t="s">
        <v>14</v>
      </c>
      <c r="B9" s="5" t="s">
        <v>15</v>
      </c>
      <c r="C9" s="5" t="s">
        <v>9</v>
      </c>
      <c r="D9" s="6" t="n">
        <v>6572143.18</v>
      </c>
    </row>
    <row r="10" customFormat="false" ht="15" hidden="false" customHeight="false" outlineLevel="0" collapsed="false">
      <c r="A10" s="5" t="s">
        <v>16</v>
      </c>
      <c r="B10" s="5" t="s">
        <v>17</v>
      </c>
      <c r="C10" s="5" t="s">
        <v>9</v>
      </c>
      <c r="D10" s="6" t="n">
        <v>3515072.12</v>
      </c>
    </row>
    <row r="11" customFormat="false" ht="15" hidden="false" customHeight="false" outlineLevel="0" collapsed="false">
      <c r="A11" s="5" t="s">
        <v>18</v>
      </c>
      <c r="B11" s="5" t="s">
        <v>19</v>
      </c>
      <c r="C11" s="5" t="s">
        <v>9</v>
      </c>
      <c r="D11" s="6" t="n">
        <v>3752.6</v>
      </c>
    </row>
    <row r="12" customFormat="false" ht="15" hidden="false" customHeight="false" outlineLevel="0" collapsed="false">
      <c r="A12" s="5" t="s">
        <v>20</v>
      </c>
      <c r="B12" s="5" t="s">
        <v>21</v>
      </c>
      <c r="C12" s="5" t="s">
        <v>9</v>
      </c>
      <c r="D12" s="6" t="n">
        <v>303005.03</v>
      </c>
    </row>
    <row r="13" customFormat="false" ht="15" hidden="false" customHeight="false" outlineLevel="0" collapsed="false">
      <c r="A13" s="5" t="s">
        <v>22</v>
      </c>
      <c r="B13" s="5" t="s">
        <v>23</v>
      </c>
      <c r="C13" s="5" t="s">
        <v>9</v>
      </c>
      <c r="D13" s="6" t="n">
        <v>42740.06</v>
      </c>
    </row>
    <row r="14" customFormat="false" ht="15" hidden="false" customHeight="false" outlineLevel="0" collapsed="false">
      <c r="A14" s="5" t="s">
        <v>24</v>
      </c>
      <c r="B14" s="5" t="s">
        <v>25</v>
      </c>
      <c r="C14" s="5" t="s">
        <v>9</v>
      </c>
      <c r="D14" s="6" t="n">
        <v>178646.26</v>
      </c>
    </row>
    <row r="15" customFormat="false" ht="15" hidden="false" customHeight="false" outlineLevel="0" collapsed="false">
      <c r="A15" s="5" t="s">
        <v>26</v>
      </c>
      <c r="B15" s="5" t="s">
        <v>27</v>
      </c>
      <c r="C15" s="5" t="s">
        <v>9</v>
      </c>
      <c r="D15" s="6" t="n">
        <v>6744.56</v>
      </c>
    </row>
    <row r="16" customFormat="false" ht="15" hidden="false" customHeight="false" outlineLevel="0" collapsed="false">
      <c r="A16" s="5" t="s">
        <v>28</v>
      </c>
      <c r="B16" s="5" t="s">
        <v>29</v>
      </c>
      <c r="C16" s="5" t="s">
        <v>9</v>
      </c>
      <c r="D16" s="6" t="n">
        <v>204226.49</v>
      </c>
    </row>
    <row r="17" customFormat="false" ht="15" hidden="false" customHeight="false" outlineLevel="0" collapsed="false">
      <c r="A17" s="5" t="s">
        <v>30</v>
      </c>
      <c r="B17" s="5" t="s">
        <v>31</v>
      </c>
      <c r="C17" s="5" t="s">
        <v>9</v>
      </c>
      <c r="D17" s="6" t="n">
        <v>1179213.56</v>
      </c>
    </row>
    <row r="18" customFormat="false" ht="15" hidden="false" customHeight="false" outlineLevel="0" collapsed="false">
      <c r="A18" s="5" t="s">
        <v>32</v>
      </c>
      <c r="B18" s="5" t="s">
        <v>33</v>
      </c>
      <c r="C18" s="5" t="s">
        <v>9</v>
      </c>
      <c r="D18" s="6" t="n">
        <v>495685.35</v>
      </c>
    </row>
    <row r="19" customFormat="false" ht="15" hidden="false" customHeight="false" outlineLevel="0" collapsed="false">
      <c r="A19" s="5" t="s">
        <v>34</v>
      </c>
      <c r="B19" s="5" t="s">
        <v>35</v>
      </c>
      <c r="C19" s="5" t="s">
        <v>9</v>
      </c>
      <c r="D19" s="6" t="n">
        <v>85088.25</v>
      </c>
    </row>
    <row r="20" customFormat="false" ht="15" hidden="false" customHeight="false" outlineLevel="0" collapsed="false">
      <c r="A20" s="5" t="s">
        <v>36</v>
      </c>
      <c r="B20" s="5" t="s">
        <v>37</v>
      </c>
      <c r="C20" s="5" t="s">
        <v>9</v>
      </c>
      <c r="D20" s="6" t="n">
        <v>19558.21</v>
      </c>
    </row>
    <row r="21" customFormat="false" ht="15" hidden="false" customHeight="false" outlineLevel="0" collapsed="false">
      <c r="A21" s="5" t="s">
        <v>38</v>
      </c>
      <c r="B21" s="5" t="s">
        <v>39</v>
      </c>
      <c r="C21" s="5" t="s">
        <v>9</v>
      </c>
      <c r="D21" s="6" t="n">
        <v>5156.4</v>
      </c>
    </row>
    <row r="22" customFormat="false" ht="15" hidden="false" customHeight="false" outlineLevel="0" collapsed="false">
      <c r="A22" s="5" t="s">
        <v>40</v>
      </c>
      <c r="B22" s="5" t="s">
        <v>41</v>
      </c>
      <c r="C22" s="5" t="s">
        <v>9</v>
      </c>
      <c r="D22" s="6" t="n">
        <v>198680.66</v>
      </c>
    </row>
    <row r="23" customFormat="false" ht="15" hidden="false" customHeight="false" outlineLevel="0" collapsed="false">
      <c r="A23" s="5" t="s">
        <v>42</v>
      </c>
      <c r="B23" s="5" t="s">
        <v>43</v>
      </c>
      <c r="C23" s="5" t="s">
        <v>9</v>
      </c>
      <c r="D23" s="6" t="n">
        <v>42802.46</v>
      </c>
    </row>
    <row r="24" customFormat="false" ht="15" hidden="false" customHeight="false" outlineLevel="0" collapsed="false">
      <c r="A24" s="5" t="s">
        <v>44</v>
      </c>
      <c r="B24" s="5" t="s">
        <v>45</v>
      </c>
      <c r="C24" s="5" t="s">
        <v>9</v>
      </c>
      <c r="D24" s="6" t="n">
        <v>25746.68</v>
      </c>
    </row>
    <row r="25" customFormat="false" ht="15" hidden="false" customHeight="false" outlineLevel="0" collapsed="false">
      <c r="A25" s="5" t="s">
        <v>46</v>
      </c>
      <c r="B25" s="5" t="s">
        <v>47</v>
      </c>
      <c r="C25" s="5" t="s">
        <v>9</v>
      </c>
      <c r="D25" s="6" t="n">
        <v>3387847</v>
      </c>
    </row>
    <row r="26" customFormat="false" ht="15" hidden="false" customHeight="false" outlineLevel="0" collapsed="false">
      <c r="A26" s="5" t="s">
        <v>48</v>
      </c>
      <c r="B26" s="5" t="s">
        <v>49</v>
      </c>
      <c r="C26" s="5" t="s">
        <v>9</v>
      </c>
      <c r="D26" s="6" t="n">
        <v>1021819.69</v>
      </c>
    </row>
    <row r="27" customFormat="false" ht="15" hidden="false" customHeight="false" outlineLevel="0" collapsed="false">
      <c r="A27" s="5" t="s">
        <v>50</v>
      </c>
      <c r="B27" s="5" t="s">
        <v>51</v>
      </c>
      <c r="C27" s="5" t="s">
        <v>9</v>
      </c>
      <c r="D27" s="6" t="n">
        <v>4151.19</v>
      </c>
    </row>
    <row r="28" customFormat="false" ht="15" hidden="false" customHeight="false" outlineLevel="0" collapsed="false">
      <c r="A28" s="5" t="s">
        <v>52</v>
      </c>
      <c r="B28" s="5" t="s">
        <v>53</v>
      </c>
      <c r="C28" s="5" t="s">
        <v>9</v>
      </c>
      <c r="D28" s="6" t="n">
        <v>45707.82</v>
      </c>
    </row>
    <row r="29" customFormat="false" ht="15" hidden="false" customHeight="false" outlineLevel="0" collapsed="false">
      <c r="A29" s="5" t="s">
        <v>54</v>
      </c>
      <c r="B29" s="5" t="s">
        <v>55</v>
      </c>
      <c r="C29" s="5" t="s">
        <v>9</v>
      </c>
      <c r="D29" s="6" t="n">
        <v>114072.49</v>
      </c>
    </row>
    <row r="30" customFormat="false" ht="15" hidden="false" customHeight="false" outlineLevel="0" collapsed="false">
      <c r="A30" s="5" t="s">
        <v>56</v>
      </c>
      <c r="B30" s="5" t="s">
        <v>57</v>
      </c>
      <c r="C30" s="5" t="s">
        <v>9</v>
      </c>
      <c r="D30" s="6" t="n">
        <v>125942.54</v>
      </c>
    </row>
    <row r="31" customFormat="false" ht="15" hidden="false" customHeight="false" outlineLevel="0" collapsed="false">
      <c r="A31" s="5" t="s">
        <v>58</v>
      </c>
      <c r="B31" s="5" t="s">
        <v>59</v>
      </c>
      <c r="C31" s="5" t="s">
        <v>9</v>
      </c>
      <c r="D31" s="6" t="n">
        <v>735</v>
      </c>
    </row>
    <row r="32" customFormat="false" ht="15" hidden="false" customHeight="false" outlineLevel="0" collapsed="false">
      <c r="A32" s="5" t="s">
        <v>60</v>
      </c>
      <c r="B32" s="5" t="s">
        <v>61</v>
      </c>
      <c r="C32" s="5" t="s">
        <v>9</v>
      </c>
      <c r="D32" s="6" t="n">
        <v>628970.4</v>
      </c>
    </row>
    <row r="33" customFormat="false" ht="15" hidden="false" customHeight="false" outlineLevel="0" collapsed="false">
      <c r="A33" s="5" t="s">
        <v>62</v>
      </c>
      <c r="B33" s="5" t="s">
        <v>63</v>
      </c>
      <c r="C33" s="5" t="s">
        <v>9</v>
      </c>
      <c r="D33" s="6" t="n">
        <v>1791806.21</v>
      </c>
    </row>
    <row r="34" customFormat="false" ht="15" hidden="false" customHeight="false" outlineLevel="0" collapsed="false">
      <c r="A34" s="5" t="s">
        <v>64</v>
      </c>
      <c r="B34" s="5" t="s">
        <v>65</v>
      </c>
      <c r="C34" s="5" t="s">
        <v>9</v>
      </c>
      <c r="D34" s="6" t="n">
        <v>16360.35</v>
      </c>
    </row>
    <row r="35" customFormat="false" ht="15" hidden="false" customHeight="false" outlineLevel="0" collapsed="false">
      <c r="A35" s="5" t="s">
        <v>66</v>
      </c>
      <c r="B35" s="5" t="s">
        <v>67</v>
      </c>
      <c r="C35" s="5" t="s">
        <v>9</v>
      </c>
      <c r="D35" s="6" t="n">
        <v>25475.4</v>
      </c>
    </row>
    <row r="36" customFormat="false" ht="15" hidden="false" customHeight="false" outlineLevel="0" collapsed="false">
      <c r="A36" s="5" t="s">
        <v>68</v>
      </c>
      <c r="B36" s="5" t="s">
        <v>69</v>
      </c>
      <c r="C36" s="5" t="s">
        <v>9</v>
      </c>
      <c r="D36" s="6" t="n">
        <v>338.21</v>
      </c>
    </row>
    <row r="37" customFormat="false" ht="15" hidden="false" customHeight="false" outlineLevel="0" collapsed="false">
      <c r="A37" s="5" t="s">
        <v>70</v>
      </c>
      <c r="B37" s="5" t="s">
        <v>71</v>
      </c>
      <c r="C37" s="5" t="s">
        <v>9</v>
      </c>
      <c r="D37" s="6" t="n">
        <v>131107.76</v>
      </c>
    </row>
    <row r="38" customFormat="false" ht="15" hidden="false" customHeight="false" outlineLevel="0" collapsed="false">
      <c r="A38" s="5" t="s">
        <v>72</v>
      </c>
      <c r="B38" s="5" t="s">
        <v>73</v>
      </c>
      <c r="C38" s="5" t="s">
        <v>9</v>
      </c>
      <c r="D38" s="6" t="n">
        <v>11261.53</v>
      </c>
    </row>
    <row r="39" customFormat="false" ht="15" hidden="false" customHeight="false" outlineLevel="0" collapsed="false">
      <c r="A39" s="5" t="s">
        <v>74</v>
      </c>
      <c r="B39" s="5" t="s">
        <v>75</v>
      </c>
      <c r="C39" s="5" t="s">
        <v>9</v>
      </c>
      <c r="D39" s="6" t="n">
        <v>1952.5</v>
      </c>
    </row>
    <row r="40" customFormat="false" ht="15" hidden="false" customHeight="false" outlineLevel="0" collapsed="false">
      <c r="A40" s="5" t="s">
        <v>76</v>
      </c>
      <c r="B40" s="5" t="s">
        <v>77</v>
      </c>
      <c r="C40" s="5" t="s">
        <v>9</v>
      </c>
      <c r="D40" s="6" t="n">
        <v>180.5</v>
      </c>
    </row>
    <row r="41" customFormat="false" ht="15" hidden="false" customHeight="false" outlineLevel="0" collapsed="false">
      <c r="A41" s="5" t="s">
        <v>78</v>
      </c>
      <c r="B41" s="5" t="s">
        <v>79</v>
      </c>
      <c r="C41" s="5" t="s">
        <v>9</v>
      </c>
      <c r="D41" s="6" t="n">
        <v>2473802.56</v>
      </c>
    </row>
    <row r="42" customFormat="false" ht="15" hidden="false" customHeight="false" outlineLevel="0" collapsed="false">
      <c r="A42" s="5" t="s">
        <v>80</v>
      </c>
      <c r="B42" s="5" t="s">
        <v>81</v>
      </c>
      <c r="C42" s="5" t="s">
        <v>9</v>
      </c>
      <c r="D42" s="6" t="n">
        <v>1056.59</v>
      </c>
    </row>
    <row r="43" customFormat="false" ht="15" hidden="false" customHeight="false" outlineLevel="0" collapsed="false">
      <c r="A43" s="5" t="s">
        <v>82</v>
      </c>
      <c r="B43" s="5" t="s">
        <v>83</v>
      </c>
      <c r="C43" s="5" t="s">
        <v>9</v>
      </c>
      <c r="D43" s="6" t="n">
        <v>-24065.49</v>
      </c>
    </row>
    <row r="44" customFormat="false" ht="15" hidden="false" customHeight="false" outlineLevel="0" collapsed="false">
      <c r="A44" s="5" t="s">
        <v>84</v>
      </c>
      <c r="B44" s="5" t="s">
        <v>85</v>
      </c>
      <c r="C44" s="5" t="s">
        <v>9</v>
      </c>
      <c r="D44" s="6" t="n">
        <v>512642.77</v>
      </c>
    </row>
    <row r="45" customFormat="false" ht="15" hidden="false" customHeight="false" outlineLevel="0" collapsed="false">
      <c r="A45" s="5" t="s">
        <v>86</v>
      </c>
      <c r="B45" s="5" t="s">
        <v>87</v>
      </c>
      <c r="C45" s="5" t="s">
        <v>9</v>
      </c>
      <c r="D45" s="6" t="n">
        <v>-171766.41</v>
      </c>
    </row>
    <row r="46" customFormat="false" ht="15" hidden="false" customHeight="false" outlineLevel="0" collapsed="false">
      <c r="A46" s="5" t="s">
        <v>88</v>
      </c>
      <c r="B46" s="5" t="s">
        <v>89</v>
      </c>
      <c r="C46" s="5" t="s">
        <v>9</v>
      </c>
      <c r="D46" s="6" t="n">
        <v>-439899.67</v>
      </c>
    </row>
    <row r="47" customFormat="false" ht="15" hidden="false" customHeight="false" outlineLevel="0" collapsed="false">
      <c r="A47" s="5" t="s">
        <v>90</v>
      </c>
      <c r="B47" s="5" t="s">
        <v>91</v>
      </c>
      <c r="C47" s="5" t="s">
        <v>9</v>
      </c>
      <c r="D47" s="6" t="n">
        <v>5539.15</v>
      </c>
    </row>
    <row r="48" customFormat="false" ht="15" hidden="false" customHeight="false" outlineLevel="0" collapsed="false">
      <c r="A48" s="5" t="s">
        <v>92</v>
      </c>
      <c r="B48" s="5" t="s">
        <v>93</v>
      </c>
      <c r="C48" s="5" t="s">
        <v>9</v>
      </c>
      <c r="D48" s="6" t="n">
        <v>48649.86</v>
      </c>
    </row>
    <row r="49" customFormat="false" ht="15" hidden="false" customHeight="false" outlineLevel="0" collapsed="false">
      <c r="A49" s="5" t="s">
        <v>94</v>
      </c>
      <c r="B49" s="5" t="s">
        <v>95</v>
      </c>
      <c r="C49" s="5" t="s">
        <v>9</v>
      </c>
      <c r="D49" s="6" t="n">
        <v>-128017.82</v>
      </c>
    </row>
    <row r="50" customFormat="false" ht="15" hidden="false" customHeight="false" outlineLevel="0" collapsed="false">
      <c r="A50" s="5" t="s">
        <v>96</v>
      </c>
      <c r="B50" s="5" t="s">
        <v>97</v>
      </c>
      <c r="C50" s="5" t="s">
        <v>9</v>
      </c>
      <c r="D50" s="6" t="n">
        <v>-78980.19</v>
      </c>
    </row>
    <row r="51" customFormat="false" ht="15" hidden="false" customHeight="false" outlineLevel="0" collapsed="false">
      <c r="A51" s="5" t="s">
        <v>98</v>
      </c>
      <c r="B51" s="5" t="s">
        <v>99</v>
      </c>
      <c r="C51" s="5" t="s">
        <v>9</v>
      </c>
      <c r="D51" s="6" t="n">
        <v>-28369.62</v>
      </c>
    </row>
    <row r="52" customFormat="false" ht="15" hidden="false" customHeight="false" outlineLevel="0" collapsed="false">
      <c r="A52" s="5" t="s">
        <v>100</v>
      </c>
      <c r="B52" s="5" t="s">
        <v>101</v>
      </c>
      <c r="C52" s="5" t="s">
        <v>9</v>
      </c>
      <c r="D52" s="6" t="n">
        <v>-115283.3</v>
      </c>
    </row>
    <row r="53" customFormat="false" ht="15" hidden="false" customHeight="false" outlineLevel="0" collapsed="false">
      <c r="A53" s="5" t="s">
        <v>102</v>
      </c>
      <c r="B53" s="5" t="s">
        <v>103</v>
      </c>
      <c r="C53" s="5" t="s">
        <v>9</v>
      </c>
      <c r="D53" s="6" t="n">
        <v>-63976</v>
      </c>
    </row>
    <row r="54" customFormat="false" ht="15" hidden="false" customHeight="false" outlineLevel="0" collapsed="false">
      <c r="A54" s="5" t="s">
        <v>104</v>
      </c>
      <c r="B54" s="5" t="s">
        <v>105</v>
      </c>
      <c r="C54" s="5" t="s">
        <v>9</v>
      </c>
      <c r="D54" s="6" t="n">
        <v>-67500</v>
      </c>
    </row>
    <row r="55" customFormat="false" ht="15" hidden="false" customHeight="false" outlineLevel="0" collapsed="false">
      <c r="A55" s="5" t="s">
        <v>106</v>
      </c>
      <c r="B55" s="5" t="s">
        <v>107</v>
      </c>
      <c r="C55" s="5" t="s">
        <v>9</v>
      </c>
      <c r="D55" s="6" t="n">
        <v>-105797.8</v>
      </c>
    </row>
    <row r="56" customFormat="false" ht="15" hidden="false" customHeight="false" outlineLevel="0" collapsed="false">
      <c r="A56" s="5" t="s">
        <v>108</v>
      </c>
      <c r="B56" s="5" t="s">
        <v>109</v>
      </c>
      <c r="C56" s="5" t="s">
        <v>9</v>
      </c>
      <c r="D56" s="6" t="n">
        <v>-875316.5</v>
      </c>
    </row>
    <row r="57" customFormat="false" ht="15" hidden="false" customHeight="false" outlineLevel="0" collapsed="false">
      <c r="A57" s="5" t="s">
        <v>110</v>
      </c>
      <c r="B57" s="5" t="s">
        <v>111</v>
      </c>
      <c r="C57" s="5" t="s">
        <v>9</v>
      </c>
      <c r="D57" s="6" t="n">
        <v>-1689.8</v>
      </c>
    </row>
    <row r="58" customFormat="false" ht="15" hidden="false" customHeight="false" outlineLevel="0" collapsed="false">
      <c r="A58" s="5" t="s">
        <v>112</v>
      </c>
      <c r="B58" s="5" t="s">
        <v>113</v>
      </c>
      <c r="C58" s="5" t="s">
        <v>9</v>
      </c>
      <c r="D58" s="6" t="n">
        <v>-46553.6</v>
      </c>
    </row>
    <row r="59" customFormat="false" ht="15" hidden="false" customHeight="false" outlineLevel="0" collapsed="false">
      <c r="A59" s="5" t="s">
        <v>114</v>
      </c>
      <c r="B59" s="5" t="s">
        <v>115</v>
      </c>
      <c r="C59" s="5" t="s">
        <v>9</v>
      </c>
      <c r="D59" s="6" t="n">
        <v>-1401677.17</v>
      </c>
    </row>
    <row r="60" customFormat="false" ht="15" hidden="false" customHeight="false" outlineLevel="0" collapsed="false">
      <c r="A60" s="5" t="s">
        <v>116</v>
      </c>
      <c r="B60" s="5" t="s">
        <v>117</v>
      </c>
      <c r="C60" s="5" t="s">
        <v>9</v>
      </c>
      <c r="D60" s="6" t="n">
        <v>-4879.58</v>
      </c>
    </row>
    <row r="61" customFormat="false" ht="15" hidden="false" customHeight="false" outlineLevel="0" collapsed="false">
      <c r="A61" s="5" t="s">
        <v>118</v>
      </c>
      <c r="B61" s="5" t="s">
        <v>119</v>
      </c>
      <c r="C61" s="5" t="s">
        <v>9</v>
      </c>
      <c r="D61" s="6" t="n">
        <v>896.77</v>
      </c>
    </row>
    <row r="62" customFormat="false" ht="15" hidden="false" customHeight="false" outlineLevel="0" collapsed="false">
      <c r="A62" s="5" t="s">
        <v>120</v>
      </c>
      <c r="B62" s="5" t="s">
        <v>121</v>
      </c>
      <c r="C62" s="5" t="s">
        <v>9</v>
      </c>
      <c r="D62" s="6" t="n">
        <v>11579.5</v>
      </c>
    </row>
    <row r="63" customFormat="false" ht="15" hidden="false" customHeight="false" outlineLevel="0" collapsed="false">
      <c r="A63" s="5" t="s">
        <v>122</v>
      </c>
      <c r="B63" s="5" t="s">
        <v>123</v>
      </c>
      <c r="C63" s="5" t="s">
        <v>9</v>
      </c>
      <c r="D63" s="6" t="n">
        <v>-3110.48</v>
      </c>
    </row>
    <row r="64" customFormat="false" ht="15" hidden="false" customHeight="false" outlineLevel="0" collapsed="false">
      <c r="A64" s="5" t="s">
        <v>124</v>
      </c>
      <c r="B64" s="5" t="s">
        <v>125</v>
      </c>
      <c r="C64" s="5" t="s">
        <v>9</v>
      </c>
      <c r="D64" s="6" t="n">
        <v>-3076692.69</v>
      </c>
    </row>
    <row r="65" customFormat="false" ht="15" hidden="false" customHeight="false" outlineLevel="0" collapsed="false">
      <c r="A65" s="5" t="s">
        <v>126</v>
      </c>
      <c r="B65" s="5" t="s">
        <v>127</v>
      </c>
      <c r="C65" s="5" t="s">
        <v>9</v>
      </c>
      <c r="D65" s="6" t="n">
        <v>2337.5</v>
      </c>
    </row>
    <row r="66" customFormat="false" ht="15" hidden="false" customHeight="false" outlineLevel="0" collapsed="false">
      <c r="A66" s="5" t="s">
        <v>128</v>
      </c>
      <c r="B66" s="5" t="s">
        <v>129</v>
      </c>
      <c r="C66" s="5" t="s">
        <v>9</v>
      </c>
      <c r="D66" s="6" t="n">
        <v>-7341.21</v>
      </c>
    </row>
    <row r="67" customFormat="false" ht="15" hidden="false" customHeight="false" outlineLevel="0" collapsed="false">
      <c r="A67" s="5" t="s">
        <v>130</v>
      </c>
      <c r="B67" s="5" t="s">
        <v>131</v>
      </c>
      <c r="C67" s="5" t="s">
        <v>9</v>
      </c>
      <c r="D67" s="6" t="n">
        <v>-180.5</v>
      </c>
    </row>
    <row r="68" customFormat="false" ht="15" hidden="false" customHeight="false" outlineLevel="0" collapsed="false">
      <c r="A68" s="5" t="s">
        <v>132</v>
      </c>
      <c r="B68" s="5" t="s">
        <v>133</v>
      </c>
      <c r="C68" s="5" t="s">
        <v>9</v>
      </c>
      <c r="D68" s="6" t="n">
        <v>-474.32</v>
      </c>
    </row>
    <row r="69" customFormat="false" ht="15" hidden="false" customHeight="false" outlineLevel="0" collapsed="false">
      <c r="A69" s="5" t="s">
        <v>134</v>
      </c>
      <c r="B69" s="5" t="s">
        <v>135</v>
      </c>
      <c r="C69" s="5" t="s">
        <v>9</v>
      </c>
      <c r="D69" s="6" t="n">
        <v>-105197.96</v>
      </c>
    </row>
    <row r="70" customFormat="false" ht="15" hidden="false" customHeight="false" outlineLevel="0" collapsed="false">
      <c r="A70" s="5" t="s">
        <v>136</v>
      </c>
      <c r="B70" s="5" t="s">
        <v>137</v>
      </c>
      <c r="C70" s="5" t="s">
        <v>9</v>
      </c>
      <c r="D70" s="6" t="n">
        <v>-55580.32</v>
      </c>
    </row>
    <row r="71" customFormat="false" ht="15" hidden="false" customHeight="false" outlineLevel="0" collapsed="false">
      <c r="A71" s="5" t="s">
        <v>138</v>
      </c>
      <c r="B71" s="5" t="s">
        <v>139</v>
      </c>
      <c r="C71" s="5" t="s">
        <v>9</v>
      </c>
      <c r="D71" s="6" t="n">
        <v>-1486</v>
      </c>
    </row>
    <row r="72" customFormat="false" ht="15" hidden="false" customHeight="false" outlineLevel="0" collapsed="false">
      <c r="A72" s="5" t="s">
        <v>140</v>
      </c>
      <c r="B72" s="5" t="s">
        <v>141</v>
      </c>
      <c r="C72" s="5" t="s">
        <v>9</v>
      </c>
      <c r="D72" s="6" t="n">
        <v>-4407.71</v>
      </c>
    </row>
    <row r="73" customFormat="false" ht="15" hidden="false" customHeight="false" outlineLevel="0" collapsed="false">
      <c r="A73" s="5" t="s">
        <v>142</v>
      </c>
      <c r="B73" s="5" t="s">
        <v>143</v>
      </c>
      <c r="C73" s="5" t="s">
        <v>9</v>
      </c>
      <c r="D73" s="6" t="n">
        <v>1705.82</v>
      </c>
    </row>
    <row r="74" customFormat="false" ht="15" hidden="false" customHeight="false" outlineLevel="0" collapsed="false">
      <c r="A74" s="5" t="s">
        <v>144</v>
      </c>
      <c r="B74" s="5" t="s">
        <v>145</v>
      </c>
      <c r="C74" s="5" t="s">
        <v>9</v>
      </c>
      <c r="D74" s="6" t="n">
        <v>7029.77</v>
      </c>
    </row>
    <row r="75" customFormat="false" ht="15" hidden="false" customHeight="false" outlineLevel="0" collapsed="false">
      <c r="A75" s="5" t="s">
        <v>146</v>
      </c>
      <c r="B75" s="5" t="s">
        <v>147</v>
      </c>
      <c r="C75" s="5" t="s">
        <v>9</v>
      </c>
      <c r="D75" s="6" t="n">
        <v>-5446.6</v>
      </c>
    </row>
    <row r="76" customFormat="false" ht="15" hidden="false" customHeight="false" outlineLevel="0" collapsed="false">
      <c r="A76" s="5" t="s">
        <v>148</v>
      </c>
      <c r="B76" s="5" t="s">
        <v>149</v>
      </c>
      <c r="C76" s="5" t="s">
        <v>9</v>
      </c>
      <c r="D76" s="6" t="n">
        <v>-1500000</v>
      </c>
    </row>
    <row r="77" customFormat="false" ht="15" hidden="false" customHeight="false" outlineLevel="0" collapsed="false">
      <c r="A77" s="5" t="s">
        <v>150</v>
      </c>
      <c r="B77" s="5" t="s">
        <v>151</v>
      </c>
      <c r="C77" s="5" t="s">
        <v>9</v>
      </c>
      <c r="D77" s="6" t="n">
        <v>-100000</v>
      </c>
    </row>
    <row r="78" customFormat="false" ht="15" hidden="false" customHeight="false" outlineLevel="0" collapsed="false">
      <c r="A78" s="5" t="s">
        <v>152</v>
      </c>
      <c r="B78" s="5" t="s">
        <v>153</v>
      </c>
      <c r="C78" s="5" t="s">
        <v>9</v>
      </c>
      <c r="D78" s="6" t="n">
        <v>-1400000</v>
      </c>
    </row>
    <row r="79" customFormat="false" ht="15" hidden="false" customHeight="false" outlineLevel="0" collapsed="false">
      <c r="A79" s="5" t="s">
        <v>154</v>
      </c>
      <c r="B79" s="5" t="s">
        <v>155</v>
      </c>
      <c r="C79" s="5" t="s">
        <v>9</v>
      </c>
      <c r="D79" s="6" t="n">
        <v>11800000</v>
      </c>
    </row>
    <row r="80" customFormat="false" ht="15" hidden="false" customHeight="false" outlineLevel="0" collapsed="false">
      <c r="A80" s="5" t="s">
        <v>156</v>
      </c>
      <c r="B80" s="5" t="s">
        <v>157</v>
      </c>
      <c r="C80" s="5" t="s">
        <v>9</v>
      </c>
      <c r="D80" s="6" t="n">
        <v>-27383044.63</v>
      </c>
    </row>
    <row r="81" customFormat="false" ht="15" hidden="false" customHeight="false" outlineLevel="0" collapsed="false">
      <c r="A81" s="5" t="s">
        <v>158</v>
      </c>
      <c r="B81" s="5" t="s">
        <v>159</v>
      </c>
      <c r="C81" s="5" t="s">
        <v>9</v>
      </c>
      <c r="D81" s="6" t="n">
        <v>-1705885.36</v>
      </c>
    </row>
    <row r="82" customFormat="false" ht="15" hidden="false" customHeight="false" outlineLevel="0" collapsed="false">
      <c r="A82" s="5" t="s">
        <v>160</v>
      </c>
      <c r="B82" s="5" t="s">
        <v>161</v>
      </c>
      <c r="C82" s="5" t="s">
        <v>9</v>
      </c>
      <c r="D82" s="6" t="n">
        <v>-327940.99</v>
      </c>
    </row>
    <row r="83" customFormat="false" ht="15" hidden="false" customHeight="false" outlineLevel="0" collapsed="false">
      <c r="A83" s="5" t="s">
        <v>162</v>
      </c>
      <c r="B83" s="5" t="s">
        <v>163</v>
      </c>
      <c r="C83" s="5" t="s">
        <v>9</v>
      </c>
      <c r="D83" s="6" t="n">
        <v>-380917.08</v>
      </c>
    </row>
    <row r="84" customFormat="false" ht="15" hidden="false" customHeight="false" outlineLevel="0" collapsed="false">
      <c r="A84" s="5"/>
      <c r="B84" s="2" t="s">
        <v>164</v>
      </c>
      <c r="C84" s="5"/>
      <c r="D84" s="7" t="n">
        <f aca="false">SUM(D6:D83)</f>
        <v>7.58859641791787E-010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Beispiel Daemmstoffe GmbH</dc:creator>
  <cp:lastModifiedBy>Beispiel Daemmstoffe GmbH</cp:lastModifiedBy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