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aldenliste 2025" sheetId="1" state="visible" r:id="rId1"/>
    <sheet xmlns:r="http://schemas.openxmlformats.org/officeDocument/2006/relationships" name="Überleitung JA 2025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;\(#,##0.00\);\-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  <font>
      <name val="Arial"/>
      <charset val="1"/>
      <family val="0"/>
      <i val="1"/>
      <sz val="9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DDDDDD"/>
        <bgColor rgb="FFFFF2CC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0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10" min="1" max="1"/>
    <col width="46" customWidth="1" style="10" min="2" max="2"/>
    <col width="20" customWidth="1" style="10" min="3" max="3"/>
    <col width="16" customWidth="1" style="10" min="4" max="7"/>
  </cols>
  <sheetData>
    <row r="1" ht="15" customHeight="1" s="11">
      <c r="A1" s="12" t="inlineStr">
        <is>
          <t>Beispiel Dämmstoffe GmbH, Musterstadt</t>
        </is>
      </c>
    </row>
    <row r="2" ht="15" customHeight="1" s="11">
      <c r="A2" s="13" t="inlineStr">
        <is>
          <t>Summen- und Saldenliste per 31.12.2025</t>
        </is>
      </c>
    </row>
    <row r="3" ht="15" customHeight="1" s="11">
      <c r="A3" s="14" t="inlineStr">
        <is>
          <t>Quelle: Microsoft Dynamics 365 Finance, Hauptbuch; Export vom 05.02.2026; Beträge in EUR</t>
        </is>
      </c>
    </row>
    <row r="5" ht="15" customHeight="1" s="11">
      <c r="A5" s="15" t="inlineStr">
        <is>
          <t>Konto</t>
        </is>
      </c>
      <c r="B5" s="15" t="inlineStr">
        <is>
          <t>Bezeichnung</t>
        </is>
      </c>
      <c r="C5" s="15" t="inlineStr">
        <is>
          <t>Kontenart</t>
        </is>
      </c>
      <c r="D5" s="15" t="inlineStr">
        <is>
          <t>EB 01.01.2025</t>
        </is>
      </c>
      <c r="E5" s="15" t="inlineStr">
        <is>
          <t>Soll 2025</t>
        </is>
      </c>
      <c r="F5" s="15" t="inlineStr">
        <is>
          <t>Haben 2025</t>
        </is>
      </c>
      <c r="G5" s="15" t="inlineStr">
        <is>
          <t>Saldo 31.12.2025</t>
        </is>
      </c>
    </row>
    <row r="6" ht="15" customHeight="1" s="11">
      <c r="A6" s="16" t="inlineStr">
        <is>
          <t>012000</t>
        </is>
      </c>
      <c r="B6" s="16" t="inlineStr">
        <is>
          <t>Software (EDV-Programme)</t>
        </is>
      </c>
      <c r="C6" s="16" t="inlineStr">
        <is>
          <t>Bilanz</t>
        </is>
      </c>
      <c r="D6" s="17" t="n">
        <v>452320.75</v>
      </c>
      <c r="E6" s="17" t="n">
        <v>12923.45</v>
      </c>
      <c r="F6" s="17" t="n">
        <v>168004.85</v>
      </c>
      <c r="G6" s="17">
        <f>D6+E6-F6</f>
        <v/>
      </c>
    </row>
    <row r="7" ht="15" customHeight="1" s="11">
      <c r="A7" s="16" t="inlineStr">
        <is>
          <t>020000</t>
        </is>
      </c>
      <c r="B7" s="16" t="inlineStr">
        <is>
          <t>Grundstücke</t>
        </is>
      </c>
      <c r="C7" s="16" t="inlineStr">
        <is>
          <t>Bilanz</t>
        </is>
      </c>
      <c r="D7" s="17" t="n">
        <v>1369728.73</v>
      </c>
      <c r="E7" s="17" t="n">
        <v>0</v>
      </c>
      <c r="F7" s="17" t="n">
        <v>0</v>
      </c>
      <c r="G7" s="17">
        <f>D7+E7-F7</f>
        <v/>
      </c>
    </row>
    <row r="8" ht="15" customHeight="1" s="11">
      <c r="A8" s="16" t="inlineStr">
        <is>
          <t>020010</t>
        </is>
      </c>
      <c r="B8" s="16" t="inlineStr">
        <is>
          <t>Grundstückseinrichtungen</t>
        </is>
      </c>
      <c r="C8" s="16" t="inlineStr">
        <is>
          <t>Bilanz</t>
        </is>
      </c>
      <c r="D8" s="17" t="n">
        <v>2738198.57</v>
      </c>
      <c r="E8" s="17" t="n">
        <v>423876.51</v>
      </c>
      <c r="F8" s="17" t="n">
        <v>179055.15</v>
      </c>
      <c r="G8" s="17">
        <f>D8+E8-F8</f>
        <v/>
      </c>
    </row>
    <row r="9" ht="15" customHeight="1" s="11">
      <c r="A9" s="16" t="inlineStr">
        <is>
          <t>021000</t>
        </is>
      </c>
      <c r="B9" s="16" t="inlineStr">
        <is>
          <t>Gebäude inkl. Außenanlagen</t>
        </is>
      </c>
      <c r="C9" s="16" t="inlineStr">
        <is>
          <t>Bilanz</t>
        </is>
      </c>
      <c r="D9" s="17" t="n">
        <v>6572143.18</v>
      </c>
      <c r="E9" s="17" t="n">
        <v>120739.7</v>
      </c>
      <c r="F9" s="17" t="n">
        <v>521814.07</v>
      </c>
      <c r="G9" s="17">
        <f>D9+E9-F9</f>
        <v/>
      </c>
    </row>
    <row r="10" ht="15" customHeight="1" s="11">
      <c r="A10" s="16" t="inlineStr">
        <is>
          <t>040000</t>
        </is>
      </c>
      <c r="B10" s="16" t="inlineStr">
        <is>
          <t>Maschinen u. maschinelle Anlagen</t>
        </is>
      </c>
      <c r="C10" s="16" t="inlineStr">
        <is>
          <t>Bilanz</t>
        </is>
      </c>
      <c r="D10" s="17" t="n">
        <v>3515072.12</v>
      </c>
      <c r="E10" s="17" t="n">
        <v>621747.24</v>
      </c>
      <c r="F10" s="17" t="n">
        <v>1287201.09</v>
      </c>
      <c r="G10" s="17">
        <f>D10+E10-F10</f>
        <v/>
      </c>
    </row>
    <row r="11" ht="15" customHeight="1" s="11">
      <c r="A11" s="16" t="inlineStr">
        <is>
          <t>040010</t>
        </is>
      </c>
      <c r="B11" s="16" t="inlineStr">
        <is>
          <t>Werkzeuge</t>
        </is>
      </c>
      <c r="C11" s="16" t="inlineStr">
        <is>
          <t>Bilanz</t>
        </is>
      </c>
      <c r="D11" s="17" t="n">
        <v>3752.6</v>
      </c>
      <c r="E11" s="17" t="n">
        <v>111.3</v>
      </c>
      <c r="F11" s="17" t="n">
        <v>1827.3</v>
      </c>
      <c r="G11" s="17">
        <f>D11+E11-F11</f>
        <v/>
      </c>
    </row>
    <row r="12" ht="15" customHeight="1" s="11">
      <c r="A12" s="16" t="inlineStr">
        <is>
          <t>060000</t>
        </is>
      </c>
      <c r="B12" s="16" t="inlineStr">
        <is>
          <t>Betriebs- u. Geschäftsausstattung</t>
        </is>
      </c>
      <c r="C12" s="16" t="inlineStr">
        <is>
          <t>Bilanz</t>
        </is>
      </c>
      <c r="D12" s="17" t="n">
        <v>303005.03</v>
      </c>
      <c r="E12" s="17" t="n">
        <v>187763.11</v>
      </c>
      <c r="F12" s="17" t="n">
        <v>62404.67</v>
      </c>
      <c r="G12" s="17">
        <f>D12+E12-F12</f>
        <v/>
      </c>
    </row>
    <row r="13" ht="15" customHeight="1" s="11">
      <c r="A13" s="16" t="inlineStr">
        <is>
          <t>062000</t>
        </is>
      </c>
      <c r="B13" s="16" t="inlineStr">
        <is>
          <t>EDV-Hardware</t>
        </is>
      </c>
      <c r="C13" s="16" t="inlineStr">
        <is>
          <t>Bilanz</t>
        </is>
      </c>
      <c r="D13" s="17" t="n">
        <v>42740.06</v>
      </c>
      <c r="E13" s="17" t="n">
        <v>182542.74</v>
      </c>
      <c r="F13" s="17" t="n">
        <v>26645.39</v>
      </c>
      <c r="G13" s="17">
        <f>D13+E13-F13</f>
        <v/>
      </c>
    </row>
    <row r="14" ht="15" customHeight="1" s="11">
      <c r="A14" s="16" t="inlineStr">
        <is>
          <t>063000</t>
        </is>
      </c>
      <c r="B14" s="16" t="inlineStr">
        <is>
          <t>PKW</t>
        </is>
      </c>
      <c r="C14" s="16" t="inlineStr">
        <is>
          <t>Bilanz</t>
        </is>
      </c>
      <c r="D14" s="17" t="n">
        <v>178646.26</v>
      </c>
      <c r="E14" s="17" t="n">
        <v>346858.26</v>
      </c>
      <c r="F14" s="17" t="n">
        <v>68774.08</v>
      </c>
      <c r="G14" s="17">
        <f>D14+E14-F14</f>
        <v/>
      </c>
    </row>
    <row r="15" ht="15" customHeight="1" s="11">
      <c r="A15" s="16" t="inlineStr">
        <is>
          <t>064000</t>
        </is>
      </c>
      <c r="B15" s="16" t="inlineStr">
        <is>
          <t>LKW, Stapler u. sonstige Fahrzeuge</t>
        </is>
      </c>
      <c r="C15" s="16" t="inlineStr">
        <is>
          <t>Bilanz</t>
        </is>
      </c>
      <c r="D15" s="17" t="n">
        <v>6744.56</v>
      </c>
      <c r="E15" s="17" t="n">
        <v>182.29</v>
      </c>
      <c r="F15" s="17" t="n">
        <v>2369.77</v>
      </c>
      <c r="G15" s="17">
        <f>D15+E15-F15</f>
        <v/>
      </c>
    </row>
    <row r="16" ht="15" customHeight="1" s="11">
      <c r="A16" s="16" t="inlineStr">
        <is>
          <t>071000</t>
        </is>
      </c>
      <c r="B16" s="16" t="inlineStr">
        <is>
          <t>In Bau befindliche Anlagen</t>
        </is>
      </c>
      <c r="C16" s="16" t="inlineStr">
        <is>
          <t>Bilanz</t>
        </is>
      </c>
      <c r="D16" s="17" t="n">
        <v>204226.49</v>
      </c>
      <c r="E16" s="17" t="n">
        <v>2342485.31</v>
      </c>
      <c r="F16" s="17" t="n">
        <v>2431321.54</v>
      </c>
      <c r="G16" s="17">
        <f>D16+E16-F16</f>
        <v/>
      </c>
    </row>
    <row r="17" ht="15" customHeight="1" s="11">
      <c r="A17" s="16" t="inlineStr">
        <is>
          <t>110000</t>
        </is>
      </c>
      <c r="B17" s="16" t="inlineStr">
        <is>
          <t>Vorrat Rohmaterial Polystyrol</t>
        </is>
      </c>
      <c r="C17" s="16" t="inlineStr">
        <is>
          <t>Bilanz</t>
        </is>
      </c>
      <c r="D17" s="17" t="n">
        <v>1179213.56</v>
      </c>
      <c r="E17" s="17" t="n">
        <v>108086759.9</v>
      </c>
      <c r="F17" s="17" t="n">
        <v>108384987.15</v>
      </c>
      <c r="G17" s="17">
        <f>D17+E17-F17</f>
        <v/>
      </c>
    </row>
    <row r="18" ht="15" customHeight="1" s="11">
      <c r="A18" s="16" t="inlineStr">
        <is>
          <t>110100</t>
        </is>
      </c>
      <c r="B18" s="16" t="inlineStr">
        <is>
          <t>Vorrat Rohmaterial Additive</t>
        </is>
      </c>
      <c r="C18" s="16" t="inlineStr">
        <is>
          <t>Bilanz</t>
        </is>
      </c>
      <c r="D18" s="17" t="n">
        <v>495685.35</v>
      </c>
      <c r="E18" s="17" t="n">
        <v>9453046.119999999</v>
      </c>
      <c r="F18" s="17" t="n">
        <v>9406602.189999999</v>
      </c>
      <c r="G18" s="17">
        <f>D18+E18-F18</f>
        <v/>
      </c>
    </row>
    <row r="19" ht="15" customHeight="1" s="11">
      <c r="A19" s="16" t="inlineStr">
        <is>
          <t>110200</t>
        </is>
      </c>
      <c r="B19" s="16" t="inlineStr">
        <is>
          <t>Vorrat Rohmaterial Treibgase</t>
        </is>
      </c>
      <c r="C19" s="16" t="inlineStr">
        <is>
          <t>Bilanz</t>
        </is>
      </c>
      <c r="D19" s="17" t="n">
        <v>85088.25</v>
      </c>
      <c r="E19" s="17" t="n">
        <v>3803458.02</v>
      </c>
      <c r="F19" s="17" t="n">
        <v>3822025.57</v>
      </c>
      <c r="G19" s="17">
        <f>D19+E19-F19</f>
        <v/>
      </c>
    </row>
    <row r="20" ht="15" customHeight="1" s="11">
      <c r="A20" s="16" t="inlineStr">
        <is>
          <t>110700</t>
        </is>
      </c>
      <c r="B20" s="16" t="inlineStr">
        <is>
          <t>Vorrat Rohmaterial sonstiges</t>
        </is>
      </c>
      <c r="C20" s="16" t="inlineStr">
        <is>
          <t>Bilanz</t>
        </is>
      </c>
      <c r="D20" s="17" t="n">
        <v>19558.21</v>
      </c>
      <c r="E20" s="17" t="n">
        <v>9686.68</v>
      </c>
      <c r="F20" s="17" t="n">
        <v>19110.52</v>
      </c>
      <c r="G20" s="17">
        <f>D20+E20-F20</f>
        <v/>
      </c>
    </row>
    <row r="21" ht="15" customHeight="1" s="11">
      <c r="A21" s="16" t="inlineStr">
        <is>
          <t>111000</t>
        </is>
      </c>
      <c r="B21" s="16" t="inlineStr">
        <is>
          <t>Vorrat Hilfsmaterial</t>
        </is>
      </c>
      <c r="C21" s="16" t="inlineStr">
        <is>
          <t>Bilanz</t>
        </is>
      </c>
      <c r="D21" s="17" t="n">
        <v>5156.4</v>
      </c>
      <c r="E21" s="17" t="n">
        <v>18231.5</v>
      </c>
      <c r="F21" s="17" t="n">
        <v>13094.35</v>
      </c>
      <c r="G21" s="17">
        <f>D21+E21-F21</f>
        <v/>
      </c>
    </row>
    <row r="22" ht="15" customHeight="1" s="11">
      <c r="A22" s="16" t="inlineStr">
        <is>
          <t>140000</t>
        </is>
      </c>
      <c r="B22" s="16" t="inlineStr">
        <is>
          <t>Vorrat Verpackungsmaterial</t>
        </is>
      </c>
      <c r="C22" s="16" t="inlineStr">
        <is>
          <t>Bilanz</t>
        </is>
      </c>
      <c r="D22" s="17" t="n">
        <v>198680.66</v>
      </c>
      <c r="E22" s="17" t="n">
        <v>2384396.39</v>
      </c>
      <c r="F22" s="17" t="n">
        <v>2353502.43</v>
      </c>
      <c r="G22" s="17">
        <f>D22+E22-F22</f>
        <v/>
      </c>
    </row>
    <row r="23" ht="15" customHeight="1" s="11">
      <c r="A23" s="16" t="inlineStr">
        <is>
          <t>150000</t>
        </is>
      </c>
      <c r="B23" s="16" t="inlineStr">
        <is>
          <t>Vorrat unfertige Erzeugnisse Planer XTB</t>
        </is>
      </c>
      <c r="C23" s="16" t="inlineStr">
        <is>
          <t>Bilanz</t>
        </is>
      </c>
      <c r="D23" s="17" t="n">
        <v>42802.46</v>
      </c>
      <c r="E23" s="17" t="n">
        <v>2179404.15</v>
      </c>
      <c r="F23" s="17" t="n">
        <v>2174310.74</v>
      </c>
      <c r="G23" s="17">
        <f>D23+E23-F23</f>
        <v/>
      </c>
    </row>
    <row r="24" ht="15" customHeight="1" s="11">
      <c r="A24" s="16" t="inlineStr">
        <is>
          <t>150100</t>
        </is>
      </c>
      <c r="B24" s="16" t="inlineStr">
        <is>
          <t>Vorrat unfertige Erzeugnisse XPS</t>
        </is>
      </c>
      <c r="C24" s="16" t="inlineStr">
        <is>
          <t>Bilanz</t>
        </is>
      </c>
      <c r="D24" s="17" t="n">
        <v>25746.68</v>
      </c>
      <c r="E24" s="17" t="n">
        <v>183544.47</v>
      </c>
      <c r="F24" s="17" t="n">
        <v>173911.51</v>
      </c>
      <c r="G24" s="17">
        <f>D24+E24-F24</f>
        <v/>
      </c>
    </row>
    <row r="25" ht="15" customHeight="1" s="11">
      <c r="A25" s="16" t="inlineStr">
        <is>
          <t>160000</t>
        </is>
      </c>
      <c r="B25" s="16" t="inlineStr">
        <is>
          <t>Vorrat Fertigerzeugnisse XPS</t>
        </is>
      </c>
      <c r="C25" s="16" t="inlineStr">
        <is>
          <t>Bilanz</t>
        </is>
      </c>
      <c r="D25" s="17" t="n">
        <v>3387847</v>
      </c>
      <c r="E25" s="17" t="n">
        <v>135306065.15</v>
      </c>
      <c r="F25" s="17" t="n">
        <v>134808297.31</v>
      </c>
      <c r="G25" s="17">
        <f>D25+E25-F25</f>
        <v/>
      </c>
    </row>
    <row r="26" ht="15" customHeight="1" s="11">
      <c r="A26" s="16" t="inlineStr">
        <is>
          <t>160100</t>
        </is>
      </c>
      <c r="B26" s="16" t="inlineStr">
        <is>
          <t>Vorrat Fertigerzeugnisse XTB</t>
        </is>
      </c>
      <c r="C26" s="16" t="inlineStr">
        <is>
          <t>Bilanz</t>
        </is>
      </c>
      <c r="D26" s="17" t="n">
        <v>1021819.69</v>
      </c>
      <c r="E26" s="17" t="n">
        <v>24958384.31</v>
      </c>
      <c r="F26" s="17" t="n">
        <v>25162200.53</v>
      </c>
      <c r="G26" s="17">
        <f>D26+E26-F26</f>
        <v/>
      </c>
    </row>
    <row r="27" ht="15" customHeight="1" s="11">
      <c r="A27" s="16" t="inlineStr">
        <is>
          <t>169001</t>
        </is>
      </c>
      <c r="B27" s="16" t="inlineStr">
        <is>
          <t>WIP Materialkosten</t>
        </is>
      </c>
      <c r="C27" s="16" t="inlineStr">
        <is>
          <t>Bilanz</t>
        </is>
      </c>
      <c r="D27" s="17" t="n">
        <v>4151.19</v>
      </c>
      <c r="E27" s="17" t="n">
        <v>30887828.84</v>
      </c>
      <c r="F27" s="17" t="n">
        <v>30887828.84</v>
      </c>
      <c r="G27" s="17">
        <f>D27+E27-F27</f>
        <v/>
      </c>
    </row>
    <row r="28" ht="15" customHeight="1" s="11">
      <c r="A28" s="16" t="inlineStr">
        <is>
          <t>169009</t>
        </is>
      </c>
      <c r="B28" s="16" t="inlineStr">
        <is>
          <t>WIP Fertigerzeugnisse/unfertige Erzeugnisse</t>
        </is>
      </c>
      <c r="C28" s="16" t="inlineStr">
        <is>
          <t>Bilanz</t>
        </is>
      </c>
      <c r="D28" s="17" t="n">
        <v>45707.82</v>
      </c>
      <c r="E28" s="17" t="n">
        <v>40654710.71</v>
      </c>
      <c r="F28" s="17" t="n">
        <v>40699055.18</v>
      </c>
      <c r="G28" s="17">
        <f>D28+E28-F28</f>
        <v/>
      </c>
    </row>
    <row r="29" ht="15" customHeight="1" s="11">
      <c r="A29" s="16" t="inlineStr">
        <is>
          <t>170000</t>
        </is>
      </c>
      <c r="B29" s="16" t="inlineStr">
        <is>
          <t>Vorrat Handelsware</t>
        </is>
      </c>
      <c r="C29" s="16" t="inlineStr">
        <is>
          <t>Bilanz</t>
        </is>
      </c>
      <c r="D29" s="17" t="n">
        <v>114072.49</v>
      </c>
      <c r="E29" s="17" t="n">
        <v>704591.86</v>
      </c>
      <c r="F29" s="17" t="n">
        <v>667930.41</v>
      </c>
      <c r="G29" s="17">
        <f>D29+E29-F29</f>
        <v/>
      </c>
    </row>
    <row r="30" ht="15" customHeight="1" s="11">
      <c r="A30" s="16" t="inlineStr">
        <is>
          <t>173000</t>
        </is>
      </c>
      <c r="B30" s="16" t="inlineStr">
        <is>
          <t>Vorrat Handelsware UNI</t>
        </is>
      </c>
      <c r="C30" s="16" t="inlineStr">
        <is>
          <t>Bilanz</t>
        </is>
      </c>
      <c r="D30" s="17" t="n">
        <v>125942.54</v>
      </c>
      <c r="E30" s="17" t="n">
        <v>5163659.58</v>
      </c>
      <c r="F30" s="17" t="n">
        <v>5238854.29</v>
      </c>
      <c r="G30" s="17">
        <f>D30+E30-F30</f>
        <v/>
      </c>
    </row>
    <row r="31" ht="15" customHeight="1" s="11">
      <c r="A31" s="16" t="inlineStr">
        <is>
          <t>175000</t>
        </is>
      </c>
      <c r="B31" s="16" t="inlineStr">
        <is>
          <t>Vorrat Handelsware XPS</t>
        </is>
      </c>
      <c r="C31" s="16" t="inlineStr">
        <is>
          <t>Bilanz</t>
        </is>
      </c>
      <c r="D31" s="17" t="n">
        <v>735</v>
      </c>
      <c r="E31" s="17" t="n">
        <v>29029716.85</v>
      </c>
      <c r="F31" s="17" t="n">
        <v>29030042.35</v>
      </c>
      <c r="G31" s="17">
        <f>D31+E31-F31</f>
        <v/>
      </c>
    </row>
    <row r="32" ht="15" customHeight="1" s="11">
      <c r="A32" s="16" t="inlineStr">
        <is>
          <t>176000</t>
        </is>
      </c>
      <c r="B32" s="16" t="inlineStr">
        <is>
          <t>Vorrat Handelsware XTB</t>
        </is>
      </c>
      <c r="C32" s="16" t="inlineStr">
        <is>
          <t>Bilanz</t>
        </is>
      </c>
      <c r="D32" s="17" t="n">
        <v>0</v>
      </c>
      <c r="E32" s="17" t="n">
        <v>10879343.92</v>
      </c>
      <c r="F32" s="17" t="n">
        <v>10871932.48</v>
      </c>
      <c r="G32" s="17">
        <f>D32+E32-F32</f>
        <v/>
      </c>
    </row>
    <row r="33" ht="15" customHeight="1" s="11">
      <c r="A33" s="16" t="inlineStr">
        <is>
          <t>180000</t>
        </is>
      </c>
      <c r="B33" s="16" t="inlineStr">
        <is>
          <t>Vorrat Ersatzteillager</t>
        </is>
      </c>
      <c r="C33" s="16" t="inlineStr">
        <is>
          <t>Bilanz</t>
        </is>
      </c>
      <c r="D33" s="17" t="n">
        <v>628970.4</v>
      </c>
      <c r="E33" s="17" t="n">
        <v>495605.12</v>
      </c>
      <c r="F33" s="17" t="n">
        <v>376375.3</v>
      </c>
      <c r="G33" s="17">
        <f>D33+E33-F33</f>
        <v/>
      </c>
    </row>
    <row r="34" ht="15" customHeight="1" s="11">
      <c r="A34" s="16" t="inlineStr">
        <is>
          <t>230000</t>
        </is>
      </c>
      <c r="B34" s="16" t="inlineStr">
        <is>
          <t>Forderungen aus L.u.L. Inland Dritte</t>
        </is>
      </c>
      <c r="C34" s="16" t="inlineStr">
        <is>
          <t>Bilanz</t>
        </is>
      </c>
      <c r="D34" s="17" t="n">
        <v>1791806.21</v>
      </c>
      <c r="E34" s="17" t="n">
        <v>247416558.48</v>
      </c>
      <c r="F34" s="17" t="n">
        <v>246476509.89</v>
      </c>
      <c r="G34" s="17">
        <f>D34+E34-F34</f>
        <v/>
      </c>
    </row>
    <row r="35" ht="15" customHeight="1" s="11">
      <c r="A35" s="16" t="inlineStr">
        <is>
          <t>230100</t>
        </is>
      </c>
      <c r="B35" s="16" t="inlineStr">
        <is>
          <t>Forderungen aus L.u.L. Inland ggü IC</t>
        </is>
      </c>
      <c r="C35" s="16" t="inlineStr">
        <is>
          <t>Bilanz</t>
        </is>
      </c>
      <c r="D35" s="17" t="n">
        <v>16360.35</v>
      </c>
      <c r="E35" s="17" t="n">
        <v>877522.17</v>
      </c>
      <c r="F35" s="17" t="n">
        <v>871200.41</v>
      </c>
      <c r="G35" s="17">
        <f>D35+E35-F35</f>
        <v/>
      </c>
    </row>
    <row r="36" ht="15" customHeight="1" s="11">
      <c r="A36" s="16" t="inlineStr">
        <is>
          <t>231000</t>
        </is>
      </c>
      <c r="B36" s="16" t="inlineStr">
        <is>
          <t>Forderungen aus L.u.L. Ausland Dritte</t>
        </is>
      </c>
      <c r="C36" s="16" t="inlineStr">
        <is>
          <t>Bilanz</t>
        </is>
      </c>
      <c r="D36" s="17" t="n">
        <v>25475.4</v>
      </c>
      <c r="E36" s="17" t="n">
        <v>2491148.16</v>
      </c>
      <c r="F36" s="17" t="n">
        <v>2508885.9</v>
      </c>
      <c r="G36" s="17">
        <f>D36+E36-F36</f>
        <v/>
      </c>
    </row>
    <row r="37" ht="15" customHeight="1" s="11">
      <c r="A37" s="16" t="inlineStr">
        <is>
          <t>231100</t>
        </is>
      </c>
      <c r="B37" s="16" t="inlineStr">
        <is>
          <t>Forderungen aus L.u.L. Ausland ggü IC</t>
        </is>
      </c>
      <c r="C37" s="16" t="inlineStr">
        <is>
          <t>Bilanz</t>
        </is>
      </c>
      <c r="D37" s="17" t="n">
        <v>338.21</v>
      </c>
      <c r="E37" s="17" t="n">
        <v>238239.74</v>
      </c>
      <c r="F37" s="17" t="n">
        <v>218492.18</v>
      </c>
      <c r="G37" s="17">
        <f>D37+E37-F37</f>
        <v/>
      </c>
    </row>
    <row r="38" ht="15" customHeight="1" s="11">
      <c r="A38" s="16" t="inlineStr">
        <is>
          <t>240000</t>
        </is>
      </c>
      <c r="B38" s="16" t="inlineStr">
        <is>
          <t>Geleistete Anzahlungen</t>
        </is>
      </c>
      <c r="C38" s="16" t="inlineStr">
        <is>
          <t>Bilanz</t>
        </is>
      </c>
      <c r="D38" s="17" t="n">
        <v>131107.76</v>
      </c>
      <c r="E38" s="17" t="n">
        <v>194488.23</v>
      </c>
      <c r="F38" s="17" t="n">
        <v>322790.09</v>
      </c>
      <c r="G38" s="17">
        <f>D38+E38-F38</f>
        <v/>
      </c>
    </row>
    <row r="39" ht="15" customHeight="1" s="11">
      <c r="A39" s="16" t="inlineStr">
        <is>
          <t>240500</t>
        </is>
      </c>
      <c r="B39" s="16" t="inlineStr">
        <is>
          <t>Geleistete Kautionen</t>
        </is>
      </c>
      <c r="C39" s="16" t="inlineStr">
        <is>
          <t>Bilanz</t>
        </is>
      </c>
      <c r="D39" s="17" t="n">
        <v>0</v>
      </c>
      <c r="E39" s="17" t="n">
        <v>10250</v>
      </c>
      <c r="F39" s="17" t="n">
        <v>0</v>
      </c>
      <c r="G39" s="17">
        <f>D39+E39-F39</f>
        <v/>
      </c>
    </row>
    <row r="40" ht="15" customHeight="1" s="11">
      <c r="A40" s="16" t="inlineStr">
        <is>
          <t>247000</t>
        </is>
      </c>
      <c r="B40" s="16" t="inlineStr">
        <is>
          <t>Vorsteuer</t>
        </is>
      </c>
      <c r="C40" s="16" t="inlineStr">
        <is>
          <t>Bilanz</t>
        </is>
      </c>
      <c r="D40" s="17" t="n">
        <v>11261.53</v>
      </c>
      <c r="E40" s="17" t="n">
        <v>6162820.67</v>
      </c>
      <c r="F40" s="17" t="n">
        <v>6174082.2</v>
      </c>
      <c r="G40" s="17">
        <f>D40+E40-F40</f>
        <v/>
      </c>
    </row>
    <row r="41" ht="15" customHeight="1" s="11">
      <c r="A41" s="16" t="inlineStr">
        <is>
          <t>247100</t>
        </is>
      </c>
      <c r="B41" s="16" t="inlineStr">
        <is>
          <t>Einfuhrumsatzsteuer</t>
        </is>
      </c>
      <c r="C41" s="16" t="inlineStr">
        <is>
          <t>Bilanz</t>
        </is>
      </c>
      <c r="D41" s="17" t="n">
        <v>0</v>
      </c>
      <c r="E41" s="17" t="n">
        <v>6693.7</v>
      </c>
      <c r="F41" s="17" t="n">
        <v>6693.7</v>
      </c>
      <c r="G41" s="17">
        <f>D41+E41-F41</f>
        <v/>
      </c>
    </row>
    <row r="42" ht="15" customHeight="1" s="11">
      <c r="A42" s="16" t="inlineStr">
        <is>
          <t>247210</t>
        </is>
      </c>
      <c r="B42" s="16" t="inlineStr">
        <is>
          <t>Vorsteuer Luxemburg 17 %</t>
        </is>
      </c>
      <c r="C42" s="16" t="inlineStr">
        <is>
          <t>Bilanz</t>
        </is>
      </c>
      <c r="D42" s="17" t="n">
        <v>1952.5</v>
      </c>
      <c r="E42" s="17" t="n">
        <v>260.83</v>
      </c>
      <c r="F42" s="17" t="n">
        <v>2213.33</v>
      </c>
      <c r="G42" s="17">
        <f>D42+E42-F42</f>
        <v/>
      </c>
    </row>
    <row r="43" ht="15" customHeight="1" s="11">
      <c r="A43" s="16" t="inlineStr">
        <is>
          <t>247300</t>
        </is>
      </c>
      <c r="B43" s="16" t="inlineStr">
        <is>
          <t>Erwerbsvorsteuer</t>
        </is>
      </c>
      <c r="C43" s="16" t="inlineStr">
        <is>
          <t>Bilanz</t>
        </is>
      </c>
      <c r="D43" s="17" t="n">
        <v>0</v>
      </c>
      <c r="E43" s="17" t="n">
        <v>6982010.67</v>
      </c>
      <c r="F43" s="17" t="n">
        <v>6982010.67</v>
      </c>
      <c r="G43" s="17">
        <f>D43+E43-F43</f>
        <v/>
      </c>
    </row>
    <row r="44" ht="15" customHeight="1" s="11">
      <c r="A44" s="16" t="inlineStr">
        <is>
          <t>247900</t>
        </is>
      </c>
      <c r="B44" s="16" t="inlineStr">
        <is>
          <t>Vorsteuer Reverse Charge EU</t>
        </is>
      </c>
      <c r="C44" s="16" t="inlineStr">
        <is>
          <t>Bilanz</t>
        </is>
      </c>
      <c r="D44" s="17" t="n">
        <v>180.5</v>
      </c>
      <c r="E44" s="17" t="n">
        <v>455699.18</v>
      </c>
      <c r="F44" s="17" t="n">
        <v>455879.68</v>
      </c>
      <c r="G44" s="17">
        <f>D44+E44-F44</f>
        <v/>
      </c>
    </row>
    <row r="45" ht="15" customHeight="1" s="11">
      <c r="A45" s="16" t="inlineStr">
        <is>
          <t>260000</t>
        </is>
      </c>
      <c r="B45" s="16" t="inlineStr">
        <is>
          <t>Sonstige Forderungen</t>
        </is>
      </c>
      <c r="C45" s="16" t="inlineStr">
        <is>
          <t>Bilanz</t>
        </is>
      </c>
      <c r="D45" s="17" t="n">
        <v>2473802.56</v>
      </c>
      <c r="E45" s="17" t="n">
        <v>9046609.220000001</v>
      </c>
      <c r="F45" s="17" t="n">
        <v>5870260.96</v>
      </c>
      <c r="G45" s="17">
        <f>D45+E45-F45</f>
        <v/>
      </c>
    </row>
    <row r="46" ht="15" customHeight="1" s="11">
      <c r="A46" s="16" t="inlineStr">
        <is>
          <t>260010</t>
        </is>
      </c>
      <c r="B46" s="16" t="inlineStr">
        <is>
          <t>Sonst. Muster Ziegel. Insolvenzversicherung zu ATZV</t>
        </is>
      </c>
      <c r="C46" s="16" t="inlineStr">
        <is>
          <t>Bilanz</t>
        </is>
      </c>
      <c r="D46" s="17" t="n">
        <v>0</v>
      </c>
      <c r="E46" s="17" t="n">
        <v>26889.6</v>
      </c>
      <c r="F46" s="17" t="n">
        <v>1934.4</v>
      </c>
      <c r="G46" s="17">
        <f>D46+E46-F46</f>
        <v/>
      </c>
    </row>
    <row r="47" ht="15" customHeight="1" s="11">
      <c r="A47" s="16" t="inlineStr">
        <is>
          <t>260100</t>
        </is>
      </c>
      <c r="B47" s="16" t="inlineStr">
        <is>
          <t>Sonstige Forderungen ggü. IC</t>
        </is>
      </c>
      <c r="C47" s="16" t="inlineStr">
        <is>
          <t>Bilanz</t>
        </is>
      </c>
      <c r="D47" s="17" t="n">
        <v>0</v>
      </c>
      <c r="E47" s="17" t="n">
        <v>0</v>
      </c>
      <c r="F47" s="17" t="n">
        <v>0</v>
      </c>
      <c r="G47" s="17">
        <f>D47+E47-F47</f>
        <v/>
      </c>
    </row>
    <row r="48" ht="15" customHeight="1" s="11">
      <c r="A48" t="inlineStr">
        <is>
          <t>266000</t>
        </is>
      </c>
      <c r="B48" t="inlineStr">
        <is>
          <t>Verrechnung verbundene Unternehmen</t>
        </is>
      </c>
      <c r="C48" t="inlineStr">
        <is>
          <t>Bilanz</t>
        </is>
      </c>
      <c r="D48" t="n">
        <v>0</v>
      </c>
      <c r="E48" t="n">
        <v>2197000</v>
      </c>
      <c r="F48" t="n">
        <v>0</v>
      </c>
      <c r="G48">
        <f>D48+E48-F48</f>
        <v/>
      </c>
    </row>
    <row r="49" ht="15" customHeight="1" s="11">
      <c r="A49" s="16" t="inlineStr">
        <is>
          <t>270030</t>
        </is>
      </c>
      <c r="B49" s="16" t="inlineStr">
        <is>
          <t>Kasse MS</t>
        </is>
      </c>
      <c r="C49" s="16" t="inlineStr">
        <is>
          <t>Bilanz</t>
        </is>
      </c>
      <c r="D49" s="17" t="n">
        <v>1056.59</v>
      </c>
      <c r="E49" s="17" t="n">
        <v>14080</v>
      </c>
      <c r="F49" s="17" t="n">
        <v>14980.73</v>
      </c>
      <c r="G49" s="17">
        <f>D49+E49-F49</f>
        <v/>
      </c>
    </row>
    <row r="50" ht="15" customHeight="1" s="11">
      <c r="A50" s="16" t="inlineStr">
        <is>
          <t>271000</t>
        </is>
      </c>
      <c r="B50" s="16" t="inlineStr">
        <is>
          <t>Musterbank Nord, KK, 2577588553</t>
        </is>
      </c>
      <c r="C50" s="16" t="inlineStr">
        <is>
          <t>Bilanz</t>
        </is>
      </c>
      <c r="D50" s="17" t="n">
        <v>-24065.49</v>
      </c>
      <c r="E50" s="17" t="n">
        <v>59820581</v>
      </c>
      <c r="F50" s="17" t="n">
        <v>58527924.82</v>
      </c>
      <c r="G50" s="17">
        <f>D50+E50-F50</f>
        <v/>
      </c>
    </row>
    <row r="51" ht="15" customHeight="1" s="11">
      <c r="A51" s="16" t="inlineStr">
        <is>
          <t>272000</t>
        </is>
      </c>
      <c r="B51" s="16" t="inlineStr">
        <is>
          <t>Musterbank Süd, KK, DE17392332146881973699</t>
        </is>
      </c>
      <c r="C51" s="16" t="inlineStr">
        <is>
          <t>Bilanz</t>
        </is>
      </c>
      <c r="D51" s="17" t="n">
        <v>512642.77</v>
      </c>
      <c r="E51" s="17" t="n">
        <v>41687747.86</v>
      </c>
      <c r="F51" s="17" t="n">
        <v>41272170.28</v>
      </c>
      <c r="G51" s="17">
        <f>D51+E51-F51</f>
        <v/>
      </c>
    </row>
    <row r="52" ht="15" customHeight="1" s="11">
      <c r="A52" s="16" t="inlineStr">
        <is>
          <t>273000</t>
        </is>
      </c>
      <c r="B52" s="16" t="inlineStr">
        <is>
          <t>Musterbank Süd, KK, 74307325620</t>
        </is>
      </c>
      <c r="C52" s="16" t="inlineStr">
        <is>
          <t>Bilanz</t>
        </is>
      </c>
      <c r="D52" s="17" t="n">
        <v>-171766.41</v>
      </c>
      <c r="E52" s="17" t="n">
        <v>200331.91</v>
      </c>
      <c r="F52" s="17" t="n">
        <v>6728.9</v>
      </c>
      <c r="G52" s="17">
        <f>D52+E52-F52</f>
        <v/>
      </c>
    </row>
    <row r="53" ht="15" customHeight="1" s="11">
      <c r="A53" s="16" t="inlineStr">
        <is>
          <t>274000</t>
        </is>
      </c>
      <c r="B53" s="16" t="inlineStr">
        <is>
          <t>Regionalbank Mitte, KK, AT486327295181756048</t>
        </is>
      </c>
      <c r="C53" s="16" t="inlineStr">
        <is>
          <t>Bilanz</t>
        </is>
      </c>
      <c r="D53" s="17" t="n">
        <v>-439899.67</v>
      </c>
      <c r="E53" s="17" t="n">
        <v>5587078.59</v>
      </c>
      <c r="F53" s="17" t="n">
        <v>10747433.83</v>
      </c>
      <c r="G53" s="17">
        <f>D53+E53-F53</f>
        <v/>
      </c>
    </row>
    <row r="54" ht="15" customHeight="1" s="11">
      <c r="A54" s="16" t="inlineStr">
        <is>
          <t>275000</t>
        </is>
      </c>
      <c r="B54" s="16" t="inlineStr">
        <is>
          <t>Kreisbank Musterstadt, GK 1750722638</t>
        </is>
      </c>
      <c r="C54" s="16" t="inlineStr">
        <is>
          <t>Bilanz</t>
        </is>
      </c>
      <c r="D54" s="17" t="n">
        <v>5539.15</v>
      </c>
      <c r="E54" s="17" t="n">
        <v>12988.2</v>
      </c>
      <c r="F54" s="17" t="n">
        <v>13237.9</v>
      </c>
      <c r="G54" s="17">
        <f>D54+E54-F54</f>
        <v/>
      </c>
    </row>
    <row r="55" ht="15" customHeight="1" s="11">
      <c r="A55" s="16" t="inlineStr">
        <is>
          <t>290000</t>
        </is>
      </c>
      <c r="B55" s="16" t="inlineStr">
        <is>
          <t>Aktive Rechnungsabgrenzung</t>
        </is>
      </c>
      <c r="C55" s="16" t="inlineStr">
        <is>
          <t>Bilanz</t>
        </is>
      </c>
      <c r="D55" s="17" t="n">
        <v>48649.86</v>
      </c>
      <c r="E55" s="17" t="n">
        <v>89918.97</v>
      </c>
      <c r="F55" s="17" t="n">
        <v>71053.82000000001</v>
      </c>
      <c r="G55" s="17">
        <f>D55+E55-F55</f>
        <v/>
      </c>
    </row>
    <row r="56" ht="15" customHeight="1" s="11">
      <c r="A56" s="16" t="inlineStr">
        <is>
          <t>299000</t>
        </is>
      </c>
      <c r="B56" s="16" t="inlineStr">
        <is>
          <t>Sonst. Muster Ziegel. unterjährig</t>
        </is>
      </c>
      <c r="C56" s="16" t="inlineStr">
        <is>
          <t>Bilanz</t>
        </is>
      </c>
      <c r="D56" s="17" t="n">
        <v>0</v>
      </c>
      <c r="E56" s="17" t="n">
        <v>12902874.27</v>
      </c>
      <c r="F56" s="17" t="n">
        <v>12902874.27</v>
      </c>
      <c r="G56" s="17">
        <f>D56+E56-F56</f>
        <v/>
      </c>
    </row>
    <row r="57" ht="15" customHeight="1" s="11">
      <c r="A57" s="16" t="inlineStr">
        <is>
          <t>299100</t>
        </is>
      </c>
      <c r="B57" s="16" t="inlineStr">
        <is>
          <t>Sonst. Muster Ziegel. unterjährig IC</t>
        </is>
      </c>
      <c r="C57" s="16" t="inlineStr">
        <is>
          <t>Bilanz</t>
        </is>
      </c>
      <c r="D57" s="17" t="n">
        <v>0</v>
      </c>
      <c r="E57" s="17" t="n">
        <v>4449600.44</v>
      </c>
      <c r="F57" s="17" t="n">
        <v>4449600.44</v>
      </c>
      <c r="G57" s="17">
        <f>D57+E57-F57</f>
        <v/>
      </c>
    </row>
    <row r="58" ht="15" customHeight="1" s="11">
      <c r="A58" s="16" t="inlineStr">
        <is>
          <t>302000</t>
        </is>
      </c>
      <c r="B58" s="16" t="inlineStr">
        <is>
          <t>Rückstellung KÖST</t>
        </is>
      </c>
      <c r="C58" s="16" t="inlineStr">
        <is>
          <t>Bilanz</t>
        </is>
      </c>
      <c r="D58" s="17" t="n">
        <v>0</v>
      </c>
      <c r="E58" s="17" t="n">
        <v>621773.55</v>
      </c>
      <c r="F58" s="17" t="n">
        <v>621773.55</v>
      </c>
      <c r="G58" s="17">
        <f>D58+E58-F58</f>
        <v/>
      </c>
    </row>
    <row r="59" ht="15" customHeight="1" s="11">
      <c r="A59" s="16" t="inlineStr">
        <is>
          <t>302400</t>
        </is>
      </c>
      <c r="B59" s="16" t="inlineStr">
        <is>
          <t>Rückstellung für Gewerbesteuer</t>
        </is>
      </c>
      <c r="C59" s="16" t="inlineStr">
        <is>
          <t>Bilanz</t>
        </is>
      </c>
      <c r="D59" s="17" t="n">
        <v>-128017.82</v>
      </c>
      <c r="E59" s="17" t="n">
        <v>206188</v>
      </c>
      <c r="F59" s="17" t="n">
        <v>78170.17999999999</v>
      </c>
      <c r="G59" s="17">
        <f>D59+E59-F59</f>
        <v/>
      </c>
    </row>
    <row r="60" ht="15" customHeight="1" s="11">
      <c r="A60" s="16" t="inlineStr">
        <is>
          <t>303000</t>
        </is>
      </c>
      <c r="B60" s="16" t="inlineStr">
        <is>
          <t>Rückstellung nicht konsumierte Urlaube</t>
        </is>
      </c>
      <c r="C60" s="16" t="inlineStr">
        <is>
          <t>Bilanz</t>
        </is>
      </c>
      <c r="D60" s="17" t="n">
        <v>-78980.19</v>
      </c>
      <c r="E60" s="17" t="n">
        <v>117566.09</v>
      </c>
      <c r="F60" s="17" t="n">
        <v>144646</v>
      </c>
      <c r="G60" s="17">
        <f>D60+E60-F60</f>
        <v/>
      </c>
    </row>
    <row r="61" ht="15" customHeight="1" s="11">
      <c r="A61" s="16" t="inlineStr">
        <is>
          <t>303600</t>
        </is>
      </c>
      <c r="B61" s="16" t="inlineStr">
        <is>
          <t>Rückstellung Zeitkonto</t>
        </is>
      </c>
      <c r="C61" s="16" t="inlineStr">
        <is>
          <t>Bilanz</t>
        </is>
      </c>
      <c r="D61" s="17" t="n">
        <v>-28369.62</v>
      </c>
      <c r="E61" s="17" t="n">
        <v>39783.4</v>
      </c>
      <c r="F61" s="17" t="n">
        <v>56438.38</v>
      </c>
      <c r="G61" s="17">
        <f>D61+E61-F61</f>
        <v/>
      </c>
    </row>
    <row r="62" ht="15" customHeight="1" s="11">
      <c r="A62" s="16" t="inlineStr">
        <is>
          <t>304500</t>
        </is>
      </c>
      <c r="B62" s="16" t="inlineStr">
        <is>
          <t>Rückstellung für Sonderzahlungen</t>
        </is>
      </c>
      <c r="C62" s="16" t="inlineStr">
        <is>
          <t>Bilanz</t>
        </is>
      </c>
      <c r="D62" s="17" t="n">
        <v>-115283.3</v>
      </c>
      <c r="E62" s="17" t="n">
        <v>115283.3</v>
      </c>
      <c r="F62" s="17" t="n">
        <v>0</v>
      </c>
      <c r="G62" s="17">
        <f>D62+E62-F62</f>
        <v/>
      </c>
    </row>
    <row r="63" ht="15" customHeight="1" s="11">
      <c r="A63" s="16" t="inlineStr">
        <is>
          <t>305000</t>
        </is>
      </c>
      <c r="B63" s="16" t="inlineStr">
        <is>
          <t>Rückstellung für Prämien</t>
        </is>
      </c>
      <c r="C63" s="16" t="inlineStr">
        <is>
          <t>Bilanz</t>
        </is>
      </c>
      <c r="D63" s="17" t="n">
        <v>0</v>
      </c>
      <c r="E63" s="17" t="n">
        <v>0</v>
      </c>
      <c r="F63" s="17" t="n">
        <v>132844</v>
      </c>
      <c r="G63" s="17">
        <f>D63+E63-F63</f>
        <v/>
      </c>
    </row>
    <row r="64" ht="15" customHeight="1" s="11">
      <c r="A64" s="16" t="inlineStr">
        <is>
          <t>305010</t>
        </is>
      </c>
      <c r="B64" s="16" t="inlineStr">
        <is>
          <t>Rückstellung für Berufsgenossenschaft</t>
        </is>
      </c>
      <c r="C64" s="16" t="inlineStr">
        <is>
          <t>Bilanz</t>
        </is>
      </c>
      <c r="D64" s="17" t="n">
        <v>-63976</v>
      </c>
      <c r="E64" s="17" t="n">
        <v>63976.66</v>
      </c>
      <c r="F64" s="17" t="n">
        <v>119500.69</v>
      </c>
      <c r="G64" s="17">
        <f>D64+E64-F64</f>
        <v/>
      </c>
    </row>
    <row r="65" ht="15" customHeight="1" s="11">
      <c r="A65" s="16" t="inlineStr">
        <is>
          <t>308000</t>
        </is>
      </c>
      <c r="B65" s="16" t="inlineStr">
        <is>
          <t>Rückstellung Beratungskosten</t>
        </is>
      </c>
      <c r="C65" s="16" t="inlineStr">
        <is>
          <t>Bilanz</t>
        </is>
      </c>
      <c r="D65" s="17" t="n">
        <v>-67500</v>
      </c>
      <c r="E65" s="17" t="n">
        <v>67500</v>
      </c>
      <c r="F65" s="17" t="n">
        <v>70000</v>
      </c>
      <c r="G65" s="17">
        <f>D65+E65-F65</f>
        <v/>
      </c>
    </row>
    <row r="66" ht="15" customHeight="1" s="11">
      <c r="A66" s="16" t="inlineStr">
        <is>
          <t>310000</t>
        </is>
      </c>
      <c r="B66" s="16" t="inlineStr">
        <is>
          <t>Rückstellung Sonstiges</t>
        </is>
      </c>
      <c r="C66" s="16" t="inlineStr">
        <is>
          <t>Bilanz</t>
        </is>
      </c>
      <c r="D66" s="17" t="n">
        <v>-105797.8</v>
      </c>
      <c r="E66" s="17" t="n">
        <v>135797.8</v>
      </c>
      <c r="F66" s="17" t="n">
        <v>201255</v>
      </c>
      <c r="G66" s="17">
        <f>D66+E66-F66</f>
        <v/>
      </c>
    </row>
    <row r="67" ht="15" customHeight="1" s="11">
      <c r="A67" s="16" t="inlineStr">
        <is>
          <t>327000</t>
        </is>
      </c>
      <c r="B67" s="16" t="inlineStr">
        <is>
          <t>Regionalbank Mitte, Kredit fix</t>
        </is>
      </c>
      <c r="C67" s="16" t="inlineStr">
        <is>
          <t>Bilanz</t>
        </is>
      </c>
      <c r="D67" s="17" t="n">
        <v>0</v>
      </c>
      <c r="E67" s="17" t="n">
        <v>0</v>
      </c>
      <c r="F67" s="17" t="n">
        <v>0</v>
      </c>
      <c r="G67" s="17">
        <f>D67+E67-F67</f>
        <v/>
      </c>
    </row>
    <row r="68" ht="15" customHeight="1" s="11">
      <c r="A68" s="16" t="inlineStr">
        <is>
          <t>330000</t>
        </is>
      </c>
      <c r="B68" s="16" t="inlineStr">
        <is>
          <t>Verbindlichkeiten aus L.u.L. Inland Dritte</t>
        </is>
      </c>
      <c r="C68" s="16" t="inlineStr">
        <is>
          <t>Bilanz</t>
        </is>
      </c>
      <c r="D68" s="17" t="n">
        <v>-875316.5</v>
      </c>
      <c r="E68" s="17" t="n">
        <v>64272676.77</v>
      </c>
      <c r="F68" s="17" t="n">
        <v>63829013.42</v>
      </c>
      <c r="G68" s="17">
        <f>D68+E68-F68</f>
        <v/>
      </c>
    </row>
    <row r="69" ht="15" customHeight="1" s="11">
      <c r="A69" s="16" t="inlineStr">
        <is>
          <t>330100</t>
        </is>
      </c>
      <c r="B69" s="16" t="inlineStr">
        <is>
          <t>Verbindlichkeiten aus L.u.L. Inland ggü IC</t>
        </is>
      </c>
      <c r="C69" s="16" t="inlineStr">
        <is>
          <t>Bilanz</t>
        </is>
      </c>
      <c r="D69" s="17" t="n">
        <v>-1689.8</v>
      </c>
      <c r="E69" s="17" t="n">
        <v>11531.81</v>
      </c>
      <c r="F69" s="17" t="n">
        <v>11236.67</v>
      </c>
      <c r="G69" s="17">
        <f>D69+E69-F69</f>
        <v/>
      </c>
    </row>
    <row r="70" ht="15" customHeight="1" s="11">
      <c r="A70" s="16" t="inlineStr">
        <is>
          <t>331000</t>
        </is>
      </c>
      <c r="B70" s="16" t="inlineStr">
        <is>
          <t>Verbindlichkeiten aus L.u.L. Ausland Dritte</t>
        </is>
      </c>
      <c r="C70" s="16" t="inlineStr">
        <is>
          <t>Bilanz</t>
        </is>
      </c>
      <c r="D70" s="17" t="n">
        <v>-46553.6</v>
      </c>
      <c r="E70" s="17" t="n">
        <v>20927029.64</v>
      </c>
      <c r="F70" s="17" t="n">
        <v>20893707.12</v>
      </c>
      <c r="G70" s="17">
        <f>D70+E70-F70</f>
        <v/>
      </c>
    </row>
    <row r="71" ht="15" customHeight="1" s="11">
      <c r="A71" s="16" t="inlineStr">
        <is>
          <t>331100</t>
        </is>
      </c>
      <c r="B71" s="16" t="inlineStr">
        <is>
          <t>Verbindlichkeiten aus L.u.L. Ausland ggü IC</t>
        </is>
      </c>
      <c r="C71" s="16" t="inlineStr">
        <is>
          <t>Bilanz</t>
        </is>
      </c>
      <c r="D71" s="17" t="n">
        <v>-1401677.17</v>
      </c>
      <c r="E71" s="17" t="n">
        <v>54495886.55</v>
      </c>
      <c r="F71" s="17" t="n">
        <v>54301992</v>
      </c>
      <c r="G71" s="17">
        <f>D71+E71-F71</f>
        <v/>
      </c>
    </row>
    <row r="72" ht="15" customHeight="1" s="11">
      <c r="A72" s="16" t="inlineStr">
        <is>
          <t>331900</t>
        </is>
      </c>
      <c r="B72" s="16" t="inlineStr">
        <is>
          <t>Einkauf Abgrenzung (WEORE)</t>
        </is>
      </c>
      <c r="C72" s="16" t="inlineStr">
        <is>
          <t>Bilanz</t>
        </is>
      </c>
      <c r="D72" s="17" t="n">
        <v>-4879.58</v>
      </c>
      <c r="E72" s="17" t="n">
        <v>60152598.23</v>
      </c>
      <c r="F72" s="17" t="n">
        <v>60151667.03</v>
      </c>
      <c r="G72" s="17">
        <f>D72+E72-F72</f>
        <v/>
      </c>
    </row>
    <row r="73" ht="15" customHeight="1" s="11">
      <c r="A73" s="16" t="inlineStr">
        <is>
          <t>331910</t>
        </is>
      </c>
      <c r="B73" s="16" t="inlineStr">
        <is>
          <t>Einkaufsaufwendungen, nicht fakturiert</t>
        </is>
      </c>
      <c r="C73" s="16" t="inlineStr">
        <is>
          <t>Bilanz</t>
        </is>
      </c>
      <c r="D73" s="17" t="n">
        <v>896.77</v>
      </c>
      <c r="E73" s="17" t="n">
        <v>1783063.44</v>
      </c>
      <c r="F73" s="17" t="n">
        <v>1783313.44</v>
      </c>
      <c r="G73" s="17">
        <f>D73+E73-F73</f>
        <v/>
      </c>
    </row>
    <row r="74" ht="15" customHeight="1" s="11">
      <c r="A74" s="16" t="inlineStr">
        <is>
          <t>331920</t>
        </is>
      </c>
      <c r="B74" s="16" t="inlineStr">
        <is>
          <t>Abgrenzung Frachtkosten</t>
        </is>
      </c>
      <c r="C74" s="16" t="inlineStr">
        <is>
          <t>Bilanz</t>
        </is>
      </c>
      <c r="D74" s="17" t="n">
        <v>11579.5</v>
      </c>
      <c r="E74" s="17" t="n">
        <v>6527203.96</v>
      </c>
      <c r="F74" s="17" t="n">
        <v>6515576.2</v>
      </c>
      <c r="G74" s="17">
        <f>D74+E74-F74</f>
        <v/>
      </c>
    </row>
    <row r="75" ht="15" customHeight="1" s="11">
      <c r="A75" s="16" t="inlineStr">
        <is>
          <t>331930</t>
        </is>
      </c>
      <c r="B75" s="16" t="inlineStr">
        <is>
          <t>Zwischenkonto Preiskorrektur</t>
        </is>
      </c>
      <c r="C75" s="16" t="inlineStr">
        <is>
          <t>Bilanz</t>
        </is>
      </c>
      <c r="D75" s="17" t="n">
        <v>-3110.48</v>
      </c>
      <c r="E75" s="17" t="n">
        <v>134122.78</v>
      </c>
      <c r="F75" s="17" t="n">
        <v>131012.3</v>
      </c>
      <c r="G75" s="17">
        <f>D75+E75-F75</f>
        <v/>
      </c>
    </row>
    <row r="76" ht="15" customHeight="1" s="11">
      <c r="A76" s="16" t="inlineStr">
        <is>
          <t>332000</t>
        </is>
      </c>
      <c r="B76" s="16" t="inlineStr">
        <is>
          <t>Kreditorische Debitoren Dritte</t>
        </is>
      </c>
      <c r="C76" s="16" t="inlineStr">
        <is>
          <t>Bilanz</t>
        </is>
      </c>
      <c r="D76" s="17" t="n">
        <v>-3076692.69</v>
      </c>
      <c r="E76" s="17" t="n">
        <v>3076692.69</v>
      </c>
      <c r="F76" s="17" t="n">
        <v>2787461.44</v>
      </c>
      <c r="G76" s="17">
        <f>D76+E76-F76</f>
        <v/>
      </c>
    </row>
    <row r="77" ht="15" customHeight="1" s="11">
      <c r="A77" s="16" t="inlineStr">
        <is>
          <t>335000</t>
        </is>
      </c>
      <c r="B77" s="16" t="inlineStr">
        <is>
          <t>Erhaltene nicht abgerechnete Lieferungen u. Leistungen</t>
        </is>
      </c>
      <c r="C77" s="16" t="inlineStr">
        <is>
          <t>Bilanz</t>
        </is>
      </c>
      <c r="D77" s="17" t="n">
        <v>2337.5</v>
      </c>
      <c r="E77" s="17" t="n">
        <v>0</v>
      </c>
      <c r="F77" s="17" t="n">
        <v>2337.5</v>
      </c>
      <c r="G77" s="17">
        <f>D77+E77-F77</f>
        <v/>
      </c>
    </row>
    <row r="78" ht="15" customHeight="1" s="11">
      <c r="A78" s="16" t="inlineStr">
        <is>
          <t>340000</t>
        </is>
      </c>
      <c r="B78" s="16" t="inlineStr">
        <is>
          <t>Erhaltene Anzahlungen (Verrechnung Gutscheine)</t>
        </is>
      </c>
      <c r="C78" s="16" t="inlineStr">
        <is>
          <t>Bilanz</t>
        </is>
      </c>
      <c r="D78" s="17" t="n">
        <v>0</v>
      </c>
      <c r="E78" s="17" t="n">
        <v>0</v>
      </c>
      <c r="F78" s="17" t="n">
        <v>0</v>
      </c>
      <c r="G78" s="17">
        <f>D78+E78-F78</f>
        <v/>
      </c>
    </row>
    <row r="79" ht="15" customHeight="1" s="11">
      <c r="A79" s="16" t="inlineStr">
        <is>
          <t>347200</t>
        </is>
      </c>
      <c r="B79" s="16" t="inlineStr">
        <is>
          <t>Umsatzsteuer VOLL</t>
        </is>
      </c>
      <c r="C79" s="16" t="inlineStr">
        <is>
          <t>Bilanz</t>
        </is>
      </c>
      <c r="D79" s="17" t="n">
        <v>0</v>
      </c>
      <c r="E79" s="17" t="n">
        <v>20649487.53</v>
      </c>
      <c r="F79" s="17" t="n">
        <v>20927043.36</v>
      </c>
      <c r="G79" s="17">
        <f>D79+E79-F79</f>
        <v/>
      </c>
    </row>
    <row r="80" ht="15" customHeight="1" s="11">
      <c r="A80" s="16" t="inlineStr">
        <is>
          <t>347410</t>
        </is>
      </c>
      <c r="B80" s="16" t="inlineStr">
        <is>
          <t>Umsatzsteuer Luxemburg FULL</t>
        </is>
      </c>
      <c r="C80" s="16" t="inlineStr">
        <is>
          <t>Bilanz</t>
        </is>
      </c>
      <c r="D80" s="17" t="n">
        <v>-7341.21</v>
      </c>
      <c r="E80" s="17" t="n">
        <v>52429.08</v>
      </c>
      <c r="F80" s="17" t="n">
        <v>45087.87</v>
      </c>
      <c r="G80" s="17">
        <f>D80+E80-F80</f>
        <v/>
      </c>
    </row>
    <row r="81" ht="15" customHeight="1" s="11">
      <c r="A81" s="16" t="inlineStr">
        <is>
          <t>347600</t>
        </is>
      </c>
      <c r="B81" s="16" t="inlineStr">
        <is>
          <t>Erwerbsumsatzsteuer VOLL</t>
        </is>
      </c>
      <c r="C81" s="16" t="inlineStr">
        <is>
          <t>Bilanz</t>
        </is>
      </c>
      <c r="D81" s="17" t="n">
        <v>0</v>
      </c>
      <c r="E81" s="17" t="n">
        <v>6982010.67</v>
      </c>
      <c r="F81" s="17" t="n">
        <v>6982010.67</v>
      </c>
      <c r="G81" s="17">
        <f>D81+E81-F81</f>
        <v/>
      </c>
    </row>
    <row r="82" ht="15" customHeight="1" s="11">
      <c r="A82" s="16" t="inlineStr">
        <is>
          <t>347900</t>
        </is>
      </c>
      <c r="B82" s="16" t="inlineStr">
        <is>
          <t>Umsatzsteuer Reverse Charge EU</t>
        </is>
      </c>
      <c r="C82" s="16" t="inlineStr">
        <is>
          <t>Bilanz</t>
        </is>
      </c>
      <c r="D82" s="17" t="n">
        <v>-180.5</v>
      </c>
      <c r="E82" s="17" t="n">
        <v>455879.68</v>
      </c>
      <c r="F82" s="17" t="n">
        <v>455699.18</v>
      </c>
      <c r="G82" s="17">
        <f>D82+E82-F82</f>
        <v/>
      </c>
    </row>
    <row r="83" ht="15" customHeight="1" s="11">
      <c r="A83" s="16" t="inlineStr">
        <is>
          <t>348000</t>
        </is>
      </c>
      <c r="B83" s="16" t="inlineStr">
        <is>
          <t>Verrechnung Umsatzsteuerzahllast laufend</t>
        </is>
      </c>
      <c r="C83" s="16" t="inlineStr">
        <is>
          <t>Bilanz</t>
        </is>
      </c>
      <c r="D83" s="17" t="n">
        <v>0</v>
      </c>
      <c r="E83" s="17" t="n">
        <v>14503353.36</v>
      </c>
      <c r="F83" s="17" t="n">
        <v>14503353.36</v>
      </c>
      <c r="G83" s="17">
        <f>D83+E83-F83</f>
        <v/>
      </c>
    </row>
    <row r="84" ht="15" customHeight="1" s="11">
      <c r="A84" s="16" t="inlineStr">
        <is>
          <t>348100</t>
        </is>
      </c>
      <c r="B84" s="16" t="inlineStr">
        <is>
          <t>Verrechnung Umsatzsteuerzahllast Vorjahre</t>
        </is>
      </c>
      <c r="C84" s="16" t="inlineStr">
        <is>
          <t>Bilanz</t>
        </is>
      </c>
      <c r="D84" s="17" t="n">
        <v>-474.32</v>
      </c>
      <c r="E84" s="17" t="n">
        <v>2507.91</v>
      </c>
      <c r="F84" s="17" t="n">
        <v>2033.59</v>
      </c>
      <c r="G84" s="17">
        <f>D84+E84-F84</f>
        <v/>
      </c>
    </row>
    <row r="85" ht="15" customHeight="1" s="11">
      <c r="A85" s="16" t="inlineStr">
        <is>
          <t>349000</t>
        </is>
      </c>
      <c r="B85" s="16" t="inlineStr">
        <is>
          <t>Verrechnung Finanzamt Sonstiges</t>
        </is>
      </c>
      <c r="C85" s="16" t="inlineStr">
        <is>
          <t>Bilanz</t>
        </is>
      </c>
      <c r="D85" s="17" t="n">
        <v>0</v>
      </c>
      <c r="E85" s="17" t="n">
        <v>830122.3199999999</v>
      </c>
      <c r="F85" s="17" t="n">
        <v>830122.3199999999</v>
      </c>
      <c r="G85" s="17">
        <f>D85+E85-F85</f>
        <v/>
      </c>
    </row>
    <row r="86" ht="15" customHeight="1" s="11">
      <c r="A86" s="16" t="inlineStr">
        <is>
          <t>350000</t>
        </is>
      </c>
      <c r="B86" s="16" t="inlineStr">
        <is>
          <t>Verrechnung Lohn- und Gehalt</t>
        </is>
      </c>
      <c r="C86" s="16" t="inlineStr">
        <is>
          <t>Bilanz</t>
        </is>
      </c>
      <c r="D86" s="17" t="n">
        <v>-105197.96</v>
      </c>
      <c r="E86" s="17" t="n">
        <v>3492575.94</v>
      </c>
      <c r="F86" s="17" t="n">
        <v>3506337.79</v>
      </c>
      <c r="G86" s="17">
        <f>D86+E86-F86</f>
        <v/>
      </c>
    </row>
    <row r="87" ht="15" customHeight="1" s="11">
      <c r="A87" s="16" t="inlineStr">
        <is>
          <t>351000</t>
        </is>
      </c>
      <c r="B87" s="16" t="inlineStr">
        <is>
          <t>Verrechnung Lohnsteuer</t>
        </is>
      </c>
      <c r="C87" s="16" t="inlineStr">
        <is>
          <t>Bilanz</t>
        </is>
      </c>
      <c r="D87" s="17" t="n">
        <v>-55580.32</v>
      </c>
      <c r="E87" s="17" t="n">
        <v>917941.55</v>
      </c>
      <c r="F87" s="17" t="n">
        <v>936402.48</v>
      </c>
      <c r="G87" s="17">
        <f>D87+E87-F87</f>
        <v/>
      </c>
    </row>
    <row r="88" ht="15" customHeight="1" s="11">
      <c r="A88" s="16" t="inlineStr">
        <is>
          <t>352010</t>
        </is>
      </c>
      <c r="B88" s="16" t="inlineStr">
        <is>
          <t>Verrechnung VWL</t>
        </is>
      </c>
      <c r="C88" s="16" t="inlineStr">
        <is>
          <t>Bilanz</t>
        </is>
      </c>
      <c r="D88" s="17" t="n">
        <v>-1486</v>
      </c>
      <c r="E88" s="17" t="n">
        <v>56848</v>
      </c>
      <c r="F88" s="17" t="n">
        <v>56356.25</v>
      </c>
      <c r="G88" s="17">
        <f>D88+E88-F88</f>
        <v/>
      </c>
    </row>
    <row r="89" ht="15" customHeight="1" s="11">
      <c r="A89" s="16" t="inlineStr">
        <is>
          <t>354000</t>
        </is>
      </c>
      <c r="B89" s="16" t="inlineStr">
        <is>
          <t>Verrechnung Sozialversicherungsbeiträge</t>
        </is>
      </c>
      <c r="C89" s="16" t="inlineStr">
        <is>
          <t>Bilanz</t>
        </is>
      </c>
      <c r="D89" s="17" t="n">
        <v>-4407.71</v>
      </c>
      <c r="E89" s="17" t="n">
        <v>1870374.75</v>
      </c>
      <c r="F89" s="17" t="n">
        <v>1887199.33</v>
      </c>
      <c r="G89" s="17">
        <f>D89+E89-F89</f>
        <v/>
      </c>
    </row>
    <row r="90" ht="15" customHeight="1" s="11">
      <c r="A90" s="16" t="inlineStr">
        <is>
          <t>357000</t>
        </is>
      </c>
      <c r="B90" s="16" t="inlineStr">
        <is>
          <t>Verbindlichkeiten aus Altersteilzeitverpflichtungen</t>
        </is>
      </c>
      <c r="C90" s="16" t="inlineStr">
        <is>
          <t>Bilanz</t>
        </is>
      </c>
      <c r="D90" s="17" t="n">
        <v>0</v>
      </c>
      <c r="E90" s="17" t="n">
        <v>1612</v>
      </c>
      <c r="F90" s="17" t="n">
        <v>22408</v>
      </c>
      <c r="G90" s="17">
        <f>D90+E90-F90</f>
        <v/>
      </c>
    </row>
    <row r="91" ht="15" customHeight="1" s="11">
      <c r="A91" s="16" t="inlineStr">
        <is>
          <t>358000</t>
        </is>
      </c>
      <c r="B91" s="16" t="inlineStr">
        <is>
          <t>Verrechnung Kommunalsteuer</t>
        </is>
      </c>
      <c r="C91" s="16" t="inlineStr">
        <is>
          <t>Bilanz</t>
        </is>
      </c>
      <c r="D91" s="17" t="n">
        <v>0</v>
      </c>
      <c r="E91" s="17" t="n">
        <v>394317</v>
      </c>
      <c r="F91" s="17" t="n">
        <v>394317</v>
      </c>
      <c r="G91" s="17">
        <f>D91+E91-F91</f>
        <v/>
      </c>
    </row>
    <row r="92" ht="15" customHeight="1" s="11">
      <c r="A92" s="16" t="inlineStr">
        <is>
          <t>360000</t>
        </is>
      </c>
      <c r="B92" s="16" t="inlineStr">
        <is>
          <t>Verrechnung Versicherung</t>
        </is>
      </c>
      <c r="C92" s="16" t="inlineStr">
        <is>
          <t>Bilanz</t>
        </is>
      </c>
      <c r="D92" s="17" t="n">
        <v>0</v>
      </c>
      <c r="E92" s="17" t="n">
        <v>3000</v>
      </c>
      <c r="F92" s="17" t="n">
        <v>3000</v>
      </c>
      <c r="G92" s="17">
        <f>D92+E92-F92</f>
        <v/>
      </c>
    </row>
    <row r="93" ht="15" customHeight="1" s="11">
      <c r="A93" s="16" t="inlineStr">
        <is>
          <t>369000</t>
        </is>
      </c>
      <c r="B93" s="16" t="inlineStr">
        <is>
          <t>Verrechnung Zahlungsverkehr</t>
        </is>
      </c>
      <c r="C93" s="16" t="inlineStr">
        <is>
          <t>Bilanz</t>
        </is>
      </c>
      <c r="D93" s="17" t="n">
        <v>0</v>
      </c>
      <c r="E93" s="17" t="n">
        <v>103090968.41</v>
      </c>
      <c r="F93" s="17" t="n">
        <v>103090968.41</v>
      </c>
      <c r="G93" s="17">
        <f>D93+E93-F93</f>
        <v/>
      </c>
    </row>
    <row r="94" ht="15" customHeight="1" s="11">
      <c r="A94" s="16" t="inlineStr">
        <is>
          <t>369100</t>
        </is>
      </c>
      <c r="B94" s="16" t="inlineStr">
        <is>
          <t>Verrechnung Aviso</t>
        </is>
      </c>
      <c r="C94" s="16" t="inlineStr">
        <is>
          <t>Bilanz</t>
        </is>
      </c>
      <c r="D94" s="17" t="n">
        <v>0</v>
      </c>
      <c r="E94" s="17" t="n">
        <v>71099706.51000001</v>
      </c>
      <c r="F94" s="17" t="n">
        <v>71099706.51000001</v>
      </c>
      <c r="G94" s="17">
        <f>D94+E94-F94</f>
        <v/>
      </c>
    </row>
    <row r="95" ht="15" customHeight="1" s="11">
      <c r="A95" s="16" t="inlineStr">
        <is>
          <t>369200</t>
        </is>
      </c>
      <c r="B95" s="16" t="inlineStr">
        <is>
          <t>Verrechnung Kreditkarte LPE</t>
        </is>
      </c>
      <c r="C95" s="16" t="inlineStr">
        <is>
          <t>Bilanz</t>
        </is>
      </c>
      <c r="D95" s="17" t="n">
        <v>1705.82</v>
      </c>
      <c r="E95" s="17" t="n">
        <v>5063.8</v>
      </c>
      <c r="F95" s="17" t="n">
        <v>6769.62</v>
      </c>
      <c r="G95" s="17">
        <f>D95+E95-F95</f>
        <v/>
      </c>
    </row>
    <row r="96" ht="15" customHeight="1" s="11">
      <c r="A96" s="16" t="inlineStr">
        <is>
          <t>369300</t>
        </is>
      </c>
      <c r="B96" s="16" t="inlineStr">
        <is>
          <t>Verrechnung Kreditkarte ASI</t>
        </is>
      </c>
      <c r="C96" s="16" t="inlineStr">
        <is>
          <t>Bilanz</t>
        </is>
      </c>
      <c r="D96" s="17" t="n">
        <v>7029.77</v>
      </c>
      <c r="E96" s="17" t="n">
        <v>11029</v>
      </c>
      <c r="F96" s="17" t="n">
        <v>18058.77</v>
      </c>
      <c r="G96" s="17">
        <f>D96+E96-F96</f>
        <v/>
      </c>
    </row>
    <row r="97" ht="15" customHeight="1" s="11">
      <c r="A97" s="16" t="inlineStr">
        <is>
          <t>370000</t>
        </is>
      </c>
      <c r="B97" s="16" t="inlineStr">
        <is>
          <t>Sonstige Verbindlichkeiten</t>
        </is>
      </c>
      <c r="C97" s="16" t="inlineStr">
        <is>
          <t>Bilanz</t>
        </is>
      </c>
      <c r="D97" s="17" t="n">
        <v>-5446.6</v>
      </c>
      <c r="E97" s="17" t="n">
        <v>378796.81</v>
      </c>
      <c r="F97" s="17" t="n">
        <v>395764.73</v>
      </c>
      <c r="G97" s="17">
        <f>D97+E97-F97</f>
        <v/>
      </c>
    </row>
    <row r="98" ht="15" customHeight="1" s="11">
      <c r="A98" s="16" t="inlineStr">
        <is>
          <t>370600</t>
        </is>
      </c>
      <c r="B98" s="16" t="inlineStr">
        <is>
          <t>Sonstige Verbindlichkeiten Konzern Holding</t>
        </is>
      </c>
      <c r="C98" s="16" t="inlineStr">
        <is>
          <t>Bilanz</t>
        </is>
      </c>
      <c r="D98" s="17" t="n">
        <v>-1500000</v>
      </c>
      <c r="E98" s="17" t="n">
        <v>0</v>
      </c>
      <c r="F98" s="17" t="n">
        <v>0</v>
      </c>
      <c r="G98" s="17">
        <f>D98+E98-F98</f>
        <v/>
      </c>
    </row>
    <row r="99" ht="15" customHeight="1" s="11">
      <c r="A99" s="16" t="inlineStr">
        <is>
          <t>379000</t>
        </is>
      </c>
      <c r="B99" s="16" t="inlineStr">
        <is>
          <t>Sonst. Verb. unterjährig</t>
        </is>
      </c>
      <c r="C99" s="16" t="inlineStr">
        <is>
          <t>Bilanz</t>
        </is>
      </c>
      <c r="D99" s="17" t="n">
        <v>0</v>
      </c>
      <c r="E99" s="17" t="n">
        <v>69069615.37</v>
      </c>
      <c r="F99" s="17" t="n">
        <v>69069615.37</v>
      </c>
      <c r="G99" s="17">
        <f>D99+E99-F99</f>
        <v/>
      </c>
    </row>
    <row r="100" ht="15" customHeight="1" s="11">
      <c r="A100" s="16" t="inlineStr">
        <is>
          <t>379100</t>
        </is>
      </c>
      <c r="B100" s="16" t="inlineStr">
        <is>
          <t>Sonst. Verb. unterjährig IC</t>
        </is>
      </c>
      <c r="C100" s="16" t="inlineStr">
        <is>
          <t>Bilanz</t>
        </is>
      </c>
      <c r="D100" s="17" t="n">
        <v>0</v>
      </c>
      <c r="E100" s="17" t="n">
        <v>95400</v>
      </c>
      <c r="F100" s="17" t="n">
        <v>95400</v>
      </c>
      <c r="G100" s="17">
        <f>D100+E100-F100</f>
        <v/>
      </c>
    </row>
    <row r="101" ht="15" customHeight="1" s="11">
      <c r="A101" s="16" t="inlineStr">
        <is>
          <t>400000</t>
        </is>
      </c>
      <c r="B101" s="16" t="inlineStr">
        <is>
          <t>Erlöse Export-Drittländer 0%</t>
        </is>
      </c>
      <c r="C101" s="16" t="inlineStr">
        <is>
          <t>Gewinn und Verlust</t>
        </is>
      </c>
      <c r="D101" s="17" t="n">
        <v>0</v>
      </c>
      <c r="E101" s="17" t="n">
        <v>0</v>
      </c>
      <c r="F101" s="17" t="n">
        <v>35719.06</v>
      </c>
      <c r="G101" s="17">
        <f>D101+E101-F101</f>
        <v/>
      </c>
    </row>
    <row r="102" ht="15" customHeight="1" s="11">
      <c r="A102" s="16" t="inlineStr">
        <is>
          <t>400020</t>
        </is>
      </c>
      <c r="B102" s="16" t="inlineStr">
        <is>
          <t>Erlöse Inland VOLL</t>
        </is>
      </c>
      <c r="C102" s="16" t="inlineStr">
        <is>
          <t>Gewinn und Verlust</t>
        </is>
      </c>
      <c r="D102" s="17" t="n">
        <v>0</v>
      </c>
      <c r="E102" s="17" t="n">
        <v>1005701.88</v>
      </c>
      <c r="F102" s="17" t="n">
        <v>62168244.06</v>
      </c>
      <c r="G102" s="17">
        <f>D102+E102-F102</f>
        <v/>
      </c>
    </row>
    <row r="103" ht="15" customHeight="1" s="11">
      <c r="A103" s="16" t="inlineStr">
        <is>
          <t>400040</t>
        </is>
      </c>
      <c r="B103" s="16" t="inlineStr">
        <is>
          <t>Erlöse Export-EU 0 %</t>
        </is>
      </c>
      <c r="C103" s="16" t="inlineStr">
        <is>
          <t>Gewinn und Verlust</t>
        </is>
      </c>
      <c r="D103" s="17" t="n">
        <v>0</v>
      </c>
      <c r="E103" s="17" t="n">
        <v>4491.68</v>
      </c>
      <c r="F103" s="17" t="n">
        <v>1273163.07</v>
      </c>
      <c r="G103" s="17">
        <f>D103+E103-F103</f>
        <v/>
      </c>
    </row>
    <row r="104" ht="15" customHeight="1" s="11">
      <c r="A104" s="16" t="inlineStr">
        <is>
          <t>400060</t>
        </is>
      </c>
      <c r="B104" s="16" t="inlineStr">
        <is>
          <t>Erlöse Export-EU Dreiecksgeschäft</t>
        </is>
      </c>
      <c r="C104" s="16" t="inlineStr">
        <is>
          <t>Gewinn und Verlust</t>
        </is>
      </c>
      <c r="D104" s="17" t="n">
        <v>0</v>
      </c>
      <c r="E104" s="17" t="n">
        <v>410.67</v>
      </c>
      <c r="F104" s="17" t="n">
        <v>0</v>
      </c>
      <c r="G104" s="17">
        <f>D104+E104-F104</f>
        <v/>
      </c>
    </row>
    <row r="105" ht="15" customHeight="1" s="11">
      <c r="A105" s="16" t="inlineStr">
        <is>
          <t>400091</t>
        </is>
      </c>
      <c r="B105" s="16" t="inlineStr">
        <is>
          <t>Erlös Belastungen</t>
        </is>
      </c>
      <c r="C105" s="16" t="inlineStr">
        <is>
          <t>Gewinn und Verlust</t>
        </is>
      </c>
      <c r="D105" s="17" t="n">
        <v>0</v>
      </c>
      <c r="E105" s="17" t="n">
        <v>426250.5</v>
      </c>
      <c r="F105" s="17" t="n">
        <v>426250.5</v>
      </c>
      <c r="G105" s="17">
        <f>D105+E105-F105</f>
        <v/>
      </c>
    </row>
    <row r="106" ht="15" customHeight="1" s="11">
      <c r="A106" s="16" t="inlineStr">
        <is>
          <t>400999</t>
        </is>
      </c>
      <c r="B106" s="16" t="inlineStr">
        <is>
          <t>Abgrenzung Erlösminderung HW</t>
        </is>
      </c>
      <c r="C106" s="16" t="inlineStr">
        <is>
          <t>Gewinn und Verlust</t>
        </is>
      </c>
      <c r="D106" s="17" t="n">
        <v>0</v>
      </c>
      <c r="E106" s="17" t="n">
        <v>112980</v>
      </c>
      <c r="F106" s="17" t="n">
        <v>112980</v>
      </c>
      <c r="G106" s="17">
        <f>D106+E106-F106</f>
        <v/>
      </c>
    </row>
    <row r="107" ht="15" customHeight="1" s="11">
      <c r="A107" s="16" t="inlineStr">
        <is>
          <t>408020</t>
        </is>
      </c>
      <c r="B107" s="16" t="inlineStr">
        <is>
          <t>Erlöse Handelsware-Inland VOLL</t>
        </is>
      </c>
      <c r="C107" s="16" t="inlineStr">
        <is>
          <t>Gewinn und Verlust</t>
        </is>
      </c>
      <c r="D107" s="17" t="n">
        <v>0</v>
      </c>
      <c r="E107" s="17" t="n">
        <v>1160400.51</v>
      </c>
      <c r="F107" s="17" t="n">
        <v>34170831.53</v>
      </c>
      <c r="G107" s="17">
        <f>D107+E107-F107</f>
        <v/>
      </c>
    </row>
    <row r="108" ht="15" customHeight="1" s="11">
      <c r="A108" s="16" t="inlineStr">
        <is>
          <t>408040</t>
        </is>
      </c>
      <c r="B108" s="16" t="inlineStr">
        <is>
          <t>Erlöse Handelsware-EU 0 %</t>
        </is>
      </c>
      <c r="C108" s="16" t="inlineStr">
        <is>
          <t>Gewinn und Verlust</t>
        </is>
      </c>
      <c r="D108" s="17" t="n">
        <v>0</v>
      </c>
      <c r="E108" s="17" t="n">
        <v>9934.68</v>
      </c>
      <c r="F108" s="17" t="n">
        <v>93693.03</v>
      </c>
      <c r="G108" s="17">
        <f>D108+E108-F108</f>
        <v/>
      </c>
    </row>
    <row r="109" ht="15" customHeight="1" s="11">
      <c r="A109" s="16" t="inlineStr">
        <is>
          <t>408060</t>
        </is>
      </c>
      <c r="B109" s="16" t="inlineStr">
        <is>
          <t>Erlöse Handelsware Export Luxemburg FULL</t>
        </is>
      </c>
      <c r="C109" s="16" t="inlineStr">
        <is>
          <t>Gewinn und Verlust</t>
        </is>
      </c>
      <c r="D109" s="17" t="n">
        <v>0</v>
      </c>
      <c r="E109" s="17" t="n">
        <v>4882.41</v>
      </c>
      <c r="F109" s="17" t="n">
        <v>151095.53</v>
      </c>
      <c r="G109" s="17">
        <f>D109+E109-F109</f>
        <v/>
      </c>
    </row>
    <row r="110" ht="15" customHeight="1" s="11">
      <c r="A110" s="16" t="inlineStr">
        <is>
          <t>410020</t>
        </is>
      </c>
      <c r="B110" s="16" t="inlineStr">
        <is>
          <t>Sonstige Erlöse Inland VOLL</t>
        </is>
      </c>
      <c r="C110" s="16" t="inlineStr">
        <is>
          <t>Gewinn und Verlust</t>
        </is>
      </c>
      <c r="D110" s="17" t="n">
        <v>0</v>
      </c>
      <c r="E110" s="17" t="n">
        <v>300</v>
      </c>
      <c r="F110" s="17" t="n">
        <v>80876</v>
      </c>
      <c r="G110" s="17">
        <f>D110+E110-F110</f>
        <v/>
      </c>
    </row>
    <row r="111" ht="15" customHeight="1" s="11">
      <c r="A111" s="16" t="inlineStr">
        <is>
          <t>410040</t>
        </is>
      </c>
      <c r="B111" s="16" t="inlineStr">
        <is>
          <t>Sonstige Erlöse Export-EU 0 %</t>
        </is>
      </c>
      <c r="C111" s="16" t="inlineStr">
        <is>
          <t>Gewinn und Verlust</t>
        </is>
      </c>
      <c r="D111" s="17" t="n">
        <v>0</v>
      </c>
      <c r="E111" s="17" t="n">
        <v>0</v>
      </c>
      <c r="F111" s="17" t="n">
        <v>400</v>
      </c>
      <c r="G111" s="17">
        <f>D111+E111-F111</f>
        <v/>
      </c>
    </row>
    <row r="112" ht="15" customHeight="1" s="11">
      <c r="A112" s="16" t="inlineStr">
        <is>
          <t>410060</t>
        </is>
      </c>
      <c r="B112" s="16" t="inlineStr">
        <is>
          <t>Sonstige Erlöse Export Luxemburg FULL</t>
        </is>
      </c>
      <c r="C112" s="16" t="inlineStr">
        <is>
          <t>Gewinn und Verlust</t>
        </is>
      </c>
      <c r="D112" s="17" t="n">
        <v>0</v>
      </c>
      <c r="E112" s="17" t="n">
        <v>410.67</v>
      </c>
      <c r="F112" s="17" t="n">
        <v>410.67</v>
      </c>
      <c r="G112" s="17">
        <f>D112+E112-F112</f>
        <v/>
      </c>
    </row>
    <row r="113" ht="15" customHeight="1" s="11">
      <c r="A113" s="16" t="inlineStr">
        <is>
          <t>410090</t>
        </is>
      </c>
      <c r="B113" s="16" t="inlineStr">
        <is>
          <t>Sonstige Erlöse Reverse Charge § 19 1c (Schrott, Energie)</t>
        </is>
      </c>
      <c r="C113" s="16" t="inlineStr">
        <is>
          <t>Gewinn und Verlust</t>
        </is>
      </c>
      <c r="D113" s="17" t="n">
        <v>0</v>
      </c>
      <c r="E113" s="17" t="n">
        <v>0</v>
      </c>
      <c r="F113" s="17" t="n">
        <v>388.55</v>
      </c>
      <c r="G113" s="17">
        <f>D113+E113-F113</f>
        <v/>
      </c>
    </row>
    <row r="114" ht="15" customHeight="1" s="11">
      <c r="A114" s="16" t="inlineStr">
        <is>
          <t>413020</t>
        </is>
      </c>
      <c r="B114" s="16" t="inlineStr">
        <is>
          <t>Erlöse Weiterverrechnung Schadensfälle Inland VOLL</t>
        </is>
      </c>
      <c r="C114" s="16" t="inlineStr">
        <is>
          <t>Gewinn und Verlust</t>
        </is>
      </c>
      <c r="D114" s="17" t="n">
        <v>0</v>
      </c>
      <c r="E114" s="17" t="n">
        <v>5745</v>
      </c>
      <c r="F114" s="17" t="n">
        <v>37615.75</v>
      </c>
      <c r="G114" s="17">
        <f>D114+E114-F114</f>
        <v/>
      </c>
    </row>
    <row r="115" ht="15" customHeight="1" s="11">
      <c r="A115" s="16" t="inlineStr">
        <is>
          <t>413040</t>
        </is>
      </c>
      <c r="B115" s="16" t="inlineStr">
        <is>
          <t>Erlöse Weiterverrechnung Schadensfälle Export-EU 0 %</t>
        </is>
      </c>
      <c r="C115" s="16" t="inlineStr">
        <is>
          <t>Gewinn und Verlust</t>
        </is>
      </c>
      <c r="D115" s="17" t="n">
        <v>0</v>
      </c>
      <c r="E115" s="17" t="n">
        <v>0</v>
      </c>
      <c r="F115" s="17" t="n">
        <v>300</v>
      </c>
      <c r="G115" s="17">
        <f>D115+E115-F115</f>
        <v/>
      </c>
    </row>
    <row r="116" ht="15" customHeight="1" s="11">
      <c r="A116" s="16" t="inlineStr">
        <is>
          <t>419020</t>
        </is>
      </c>
      <c r="B116" s="16" t="inlineStr">
        <is>
          <t>Erlöse Weiterverrechnung Frachten Inland VOLL</t>
        </is>
      </c>
      <c r="C116" s="16" t="inlineStr">
        <is>
          <t>Gewinn und Verlust</t>
        </is>
      </c>
      <c r="D116" s="17" t="n">
        <v>0</v>
      </c>
      <c r="E116" s="17" t="n">
        <v>695</v>
      </c>
      <c r="F116" s="17" t="n">
        <v>103717</v>
      </c>
      <c r="G116" s="17">
        <f>D116+E116-F116</f>
        <v/>
      </c>
    </row>
    <row r="117" ht="15" customHeight="1" s="11">
      <c r="A117" s="16" t="inlineStr">
        <is>
          <t>419040</t>
        </is>
      </c>
      <c r="B117" s="16" t="inlineStr">
        <is>
          <t>Erlöse Weiterverrechnung Frachten Export-EU 0 %</t>
        </is>
      </c>
      <c r="C117" s="16" t="inlineStr">
        <is>
          <t>Gewinn und Verlust</t>
        </is>
      </c>
      <c r="D117" s="17" t="n">
        <v>0</v>
      </c>
      <c r="E117" s="17" t="n">
        <v>0</v>
      </c>
      <c r="F117" s="17" t="n">
        <v>6290</v>
      </c>
      <c r="G117" s="17">
        <f>D117+E117-F117</f>
        <v/>
      </c>
    </row>
    <row r="118" ht="15" customHeight="1" s="11">
      <c r="A118" s="16" t="inlineStr">
        <is>
          <t>420000</t>
        </is>
      </c>
      <c r="B118" s="16" t="inlineStr">
        <is>
          <t>Skontoaufwand 0 % Drittland</t>
        </is>
      </c>
      <c r="C118" s="16" t="inlineStr">
        <is>
          <t>Gewinn und Verlust</t>
        </is>
      </c>
      <c r="D118" s="17" t="n">
        <v>0</v>
      </c>
      <c r="E118" s="17" t="n">
        <v>22.78</v>
      </c>
      <c r="F118" s="17" t="n">
        <v>0</v>
      </c>
      <c r="G118" s="17">
        <f>D118+E118-F118</f>
        <v/>
      </c>
    </row>
    <row r="119" ht="15" customHeight="1" s="11">
      <c r="A119" s="16" t="inlineStr">
        <is>
          <t>420020</t>
        </is>
      </c>
      <c r="B119" s="16" t="inlineStr">
        <is>
          <t>Skontoaufwand VOLL Inland</t>
        </is>
      </c>
      <c r="C119" s="16" t="inlineStr">
        <is>
          <t>Gewinn und Verlust</t>
        </is>
      </c>
      <c r="D119" s="17" t="n">
        <v>0</v>
      </c>
      <c r="E119" s="17" t="n">
        <v>6111040.96</v>
      </c>
      <c r="F119" s="17" t="n">
        <v>2299338.44</v>
      </c>
      <c r="G119" s="17">
        <f>D119+E119-F119</f>
        <v/>
      </c>
    </row>
    <row r="120" ht="15" customHeight="1" s="11">
      <c r="A120" s="16" t="inlineStr">
        <is>
          <t>420040</t>
        </is>
      </c>
      <c r="B120" s="16" t="inlineStr">
        <is>
          <t>Skontoaufwand 0 % EU</t>
        </is>
      </c>
      <c r="C120" s="16" t="inlineStr">
        <is>
          <t>Gewinn und Verlust</t>
        </is>
      </c>
      <c r="D120" s="17" t="n">
        <v>0</v>
      </c>
      <c r="E120" s="17" t="n">
        <v>24917.18</v>
      </c>
      <c r="F120" s="17" t="n">
        <v>502.6</v>
      </c>
      <c r="G120" s="17">
        <f>D120+E120-F120</f>
        <v/>
      </c>
    </row>
    <row r="121" ht="15" customHeight="1" s="11">
      <c r="A121" s="16" t="inlineStr">
        <is>
          <t>420060</t>
        </is>
      </c>
      <c r="B121" s="16" t="inlineStr">
        <is>
          <t>Skontoaufwand Luxemburg FULL</t>
        </is>
      </c>
      <c r="C121" s="16" t="inlineStr">
        <is>
          <t>Gewinn und Verlust</t>
        </is>
      </c>
      <c r="D121" s="17" t="n">
        <v>0</v>
      </c>
      <c r="E121" s="17" t="n">
        <v>11237</v>
      </c>
      <c r="F121" s="17" t="n">
        <v>543.91</v>
      </c>
      <c r="G121" s="17">
        <f>D121+E121-F121</f>
        <v/>
      </c>
    </row>
    <row r="122" ht="15" customHeight="1" s="11">
      <c r="A122" s="16" t="inlineStr">
        <is>
          <t>420099</t>
        </is>
      </c>
      <c r="B122" s="16" t="inlineStr">
        <is>
          <t>Skontoaufwand Abgrenzung</t>
        </is>
      </c>
      <c r="C122" s="16" t="inlineStr">
        <is>
          <t>Gewinn und Verlust</t>
        </is>
      </c>
      <c r="D122" s="17" t="n">
        <v>0</v>
      </c>
      <c r="E122" s="17" t="n">
        <v>6130537.09</v>
      </c>
      <c r="F122" s="17" t="n">
        <v>6130537.09</v>
      </c>
      <c r="G122" s="17">
        <f>D122+E122-F122</f>
        <v/>
      </c>
    </row>
    <row r="123" ht="15" customHeight="1" s="11">
      <c r="A123" s="16" t="inlineStr">
        <is>
          <t>440020</t>
        </is>
      </c>
      <c r="B123" s="16" t="inlineStr">
        <is>
          <t>Umsatzboni Inland VOLL</t>
        </is>
      </c>
      <c r="C123" s="16" t="inlineStr">
        <is>
          <t>Gewinn und Verlust</t>
        </is>
      </c>
      <c r="D123" s="17" t="n">
        <v>0</v>
      </c>
      <c r="E123" s="17" t="n">
        <v>18329044.1</v>
      </c>
      <c r="F123" s="17" t="n">
        <v>13953358.09</v>
      </c>
      <c r="G123" s="17">
        <f>D123+E123-F123</f>
        <v/>
      </c>
    </row>
    <row r="124" ht="15" customHeight="1" s="11">
      <c r="A124" s="16" t="inlineStr">
        <is>
          <t>440040</t>
        </is>
      </c>
      <c r="B124" s="16" t="inlineStr">
        <is>
          <t>Umsatzboni Export-EU 0 %</t>
        </is>
      </c>
      <c r="C124" s="16" t="inlineStr">
        <is>
          <t>Gewinn und Verlust</t>
        </is>
      </c>
      <c r="D124" s="17" t="n">
        <v>0</v>
      </c>
      <c r="E124" s="17" t="n">
        <v>1766.18</v>
      </c>
      <c r="F124" s="17" t="n">
        <v>555.24</v>
      </c>
      <c r="G124" s="17">
        <f>D124+E124-F124</f>
        <v/>
      </c>
    </row>
    <row r="125" ht="15" customHeight="1" s="11">
      <c r="A125" s="16" t="inlineStr">
        <is>
          <t>440060</t>
        </is>
      </c>
      <c r="B125" s="16" t="inlineStr">
        <is>
          <t>Umsatzboni XPS Luxemburg FULL</t>
        </is>
      </c>
      <c r="C125" s="16" t="inlineStr">
        <is>
          <t>Gewinn und Verlust</t>
        </is>
      </c>
      <c r="D125" s="17" t="n">
        <v>0</v>
      </c>
      <c r="E125" s="17" t="n">
        <v>2794.56</v>
      </c>
      <c r="F125" s="17" t="n">
        <v>3087.08</v>
      </c>
      <c r="G125" s="17">
        <f>D125+E125-F125</f>
        <v/>
      </c>
    </row>
    <row r="126" ht="15" customHeight="1" s="11">
      <c r="A126" s="16" t="inlineStr">
        <is>
          <t>440099</t>
        </is>
      </c>
      <c r="B126" s="16" t="inlineStr">
        <is>
          <t>Abgrenzung Umsatzboni</t>
        </is>
      </c>
      <c r="C126" s="16" t="inlineStr">
        <is>
          <t>Gewinn und Verlust</t>
        </is>
      </c>
      <c r="D126" s="17" t="n">
        <v>0</v>
      </c>
      <c r="E126" s="17" t="n">
        <v>57873793.09</v>
      </c>
      <c r="F126" s="17" t="n">
        <v>57753793.09</v>
      </c>
      <c r="G126" s="17">
        <f>D126+E126-F126</f>
        <v/>
      </c>
    </row>
    <row r="127" ht="15" customHeight="1" s="11">
      <c r="A127" s="16" t="inlineStr">
        <is>
          <t>448020</t>
        </is>
      </c>
      <c r="B127" s="16" t="inlineStr">
        <is>
          <t>Umsatzboni Handelsware Inland VOLL</t>
        </is>
      </c>
      <c r="C127" s="16" t="inlineStr">
        <is>
          <t>Gewinn und Verlust</t>
        </is>
      </c>
      <c r="D127" s="17" t="n">
        <v>0</v>
      </c>
      <c r="E127" s="17" t="n">
        <v>3820308.74</v>
      </c>
      <c r="F127" s="17" t="n">
        <v>118928.1</v>
      </c>
      <c r="G127" s="17">
        <f>D127+E127-F127</f>
        <v/>
      </c>
    </row>
    <row r="128" ht="15" customHeight="1" s="11">
      <c r="A128" s="16" t="inlineStr">
        <is>
          <t>448040</t>
        </is>
      </c>
      <c r="B128" s="16" t="inlineStr">
        <is>
          <t>Umsatzboni Handelsware EU 0 %</t>
        </is>
      </c>
      <c r="C128" s="16" t="inlineStr">
        <is>
          <t>Gewinn und Verlust</t>
        </is>
      </c>
      <c r="D128" s="17" t="n">
        <v>0</v>
      </c>
      <c r="E128" s="17" t="n">
        <v>306.36</v>
      </c>
      <c r="F128" s="17" t="n">
        <v>306.36</v>
      </c>
      <c r="G128" s="17">
        <f>D128+E128-F128</f>
        <v/>
      </c>
    </row>
    <row r="129" ht="15" customHeight="1" s="11">
      <c r="A129" s="16" t="inlineStr">
        <is>
          <t>448060</t>
        </is>
      </c>
      <c r="B129" s="16" t="inlineStr">
        <is>
          <t>Umsatzboni Handelsware Luxemburg FULL</t>
        </is>
      </c>
      <c r="C129" s="16" t="inlineStr">
        <is>
          <t>Gewinn und Verlust</t>
        </is>
      </c>
      <c r="D129" s="17" t="n">
        <v>0</v>
      </c>
      <c r="E129" s="17" t="n">
        <v>2026.53</v>
      </c>
      <c r="F129" s="17" t="n">
        <v>9.199999999999999</v>
      </c>
      <c r="G129" s="17">
        <f>D129+E129-F129</f>
        <v/>
      </c>
    </row>
    <row r="130" ht="15" customHeight="1" s="11">
      <c r="A130" s="16" t="inlineStr">
        <is>
          <t>449120</t>
        </is>
      </c>
      <c r="B130" s="16" t="inlineStr">
        <is>
          <t>Funktionsrabatt Inland VOLL</t>
        </is>
      </c>
      <c r="C130" s="16" t="inlineStr">
        <is>
          <t>Gewinn und Verlust</t>
        </is>
      </c>
      <c r="D130" s="17" t="n">
        <v>0</v>
      </c>
      <c r="E130" s="17" t="n">
        <v>2151629.17</v>
      </c>
      <c r="F130" s="17" t="n">
        <v>28813.09</v>
      </c>
      <c r="G130" s="17">
        <f>D130+E130-F130</f>
        <v/>
      </c>
    </row>
    <row r="131" ht="15" customHeight="1" s="11">
      <c r="A131" s="16" t="inlineStr">
        <is>
          <t>450001</t>
        </is>
      </c>
      <c r="B131" s="16" t="inlineStr">
        <is>
          <t>BV - Preisabweichung</t>
        </is>
      </c>
      <c r="C131" s="16" t="inlineStr">
        <is>
          <t>Gewinn und Verlust</t>
        </is>
      </c>
      <c r="D131" s="17" t="n">
        <v>0</v>
      </c>
      <c r="E131" s="17" t="n">
        <v>1721213.87</v>
      </c>
      <c r="F131" s="17" t="n">
        <v>2048821.3</v>
      </c>
      <c r="G131" s="17">
        <f>D131+E131-F131</f>
        <v/>
      </c>
    </row>
    <row r="132" ht="15" customHeight="1" s="11">
      <c r="A132" s="16" t="inlineStr">
        <is>
          <t>450003</t>
        </is>
      </c>
      <c r="B132" s="16" t="inlineStr">
        <is>
          <t>BV - Abweichung Produktionsmenge</t>
        </is>
      </c>
      <c r="C132" s="16" t="inlineStr">
        <is>
          <t>Gewinn und Verlust</t>
        </is>
      </c>
      <c r="D132" s="17" t="n">
        <v>0</v>
      </c>
      <c r="E132" s="17" t="n">
        <v>737519.63</v>
      </c>
      <c r="F132" s="17" t="n">
        <v>349844.92</v>
      </c>
      <c r="G132" s="17">
        <f>D132+E132-F132</f>
        <v/>
      </c>
    </row>
    <row r="133" ht="15" customHeight="1" s="11">
      <c r="A133" s="16" t="inlineStr">
        <is>
          <t>450004</t>
        </is>
      </c>
      <c r="B133" s="16" t="inlineStr">
        <is>
          <t>BV - Abweichung Produktionsersetzung</t>
        </is>
      </c>
      <c r="C133" s="16" t="inlineStr">
        <is>
          <t>Gewinn und Verlust</t>
        </is>
      </c>
      <c r="D133" s="17" t="n">
        <v>0</v>
      </c>
      <c r="E133" s="17" t="n">
        <v>514566.65</v>
      </c>
      <c r="F133" s="17" t="n">
        <v>9361.15</v>
      </c>
      <c r="G133" s="17">
        <f>D133+E133-F133</f>
        <v/>
      </c>
    </row>
    <row r="134" ht="15" customHeight="1" s="11">
      <c r="A134" s="16" t="inlineStr">
        <is>
          <t>450005</t>
        </is>
      </c>
      <c r="B134" s="16" t="inlineStr">
        <is>
          <t>BV - Abweichung bei Kostenänderung</t>
        </is>
      </c>
      <c r="C134" s="16" t="inlineStr">
        <is>
          <t>Gewinn und Verlust</t>
        </is>
      </c>
      <c r="D134" s="17" t="n">
        <v>0</v>
      </c>
      <c r="E134" s="17" t="n">
        <v>7319.72</v>
      </c>
      <c r="F134" s="17" t="n">
        <v>713.66</v>
      </c>
      <c r="G134" s="17">
        <f>D134+E134-F134</f>
        <v/>
      </c>
    </row>
    <row r="135" ht="15" customHeight="1" s="11">
      <c r="A135" s="16" t="inlineStr">
        <is>
          <t>450010</t>
        </is>
      </c>
      <c r="B135" s="16" t="inlineStr">
        <is>
          <t>BV - Neubewertung der Lagerkosten</t>
        </is>
      </c>
      <c r="C135" s="16" t="inlineStr">
        <is>
          <t>Gewinn und Verlust</t>
        </is>
      </c>
      <c r="D135" s="17" t="n">
        <v>0</v>
      </c>
      <c r="E135" s="17" t="n">
        <v>873049.64</v>
      </c>
      <c r="F135" s="17" t="n">
        <v>1193488.97</v>
      </c>
      <c r="G135" s="17">
        <f>D135+E135-F135</f>
        <v/>
      </c>
    </row>
    <row r="136" ht="15" customHeight="1" s="11">
      <c r="A136" s="16" t="inlineStr">
        <is>
          <t>455000</t>
        </is>
      </c>
      <c r="B136" s="16" t="inlineStr">
        <is>
          <t>BV unfertige Erzeugnisse Planer XTB</t>
        </is>
      </c>
      <c r="C136" s="16" t="inlineStr">
        <is>
          <t>Gewinn und Verlust</t>
        </is>
      </c>
      <c r="D136" s="17" t="n">
        <v>0</v>
      </c>
      <c r="E136" s="17" t="n">
        <v>757243.75</v>
      </c>
      <c r="F136" s="17" t="n">
        <v>781170</v>
      </c>
      <c r="G136" s="17">
        <f>D136+E136-F136</f>
        <v/>
      </c>
    </row>
    <row r="137" ht="15" customHeight="1" s="11">
      <c r="A137" s="16" t="inlineStr">
        <is>
          <t>455010</t>
        </is>
      </c>
      <c r="B137" s="16" t="inlineStr">
        <is>
          <t>BV unfertige Erzeugnisse XPS</t>
        </is>
      </c>
      <c r="C137" s="16" t="inlineStr">
        <is>
          <t>Gewinn und Verlust</t>
        </is>
      </c>
      <c r="D137" s="17" t="n">
        <v>0</v>
      </c>
      <c r="E137" s="17" t="n">
        <v>69669.96000000001</v>
      </c>
      <c r="F137" s="17" t="n">
        <v>85867.05</v>
      </c>
      <c r="G137" s="17">
        <f>D137+E137-F137</f>
        <v/>
      </c>
    </row>
    <row r="138" ht="15" customHeight="1" s="11">
      <c r="A138" s="16" t="inlineStr">
        <is>
          <t>456000</t>
        </is>
      </c>
      <c r="B138" s="16" t="inlineStr">
        <is>
          <t>BV Fertigerzeugnisse XPS</t>
        </is>
      </c>
      <c r="C138" s="16" t="inlineStr">
        <is>
          <t>Gewinn und Verlust</t>
        </is>
      </c>
      <c r="D138" s="17" t="n">
        <v>0</v>
      </c>
      <c r="E138" s="17" t="n">
        <v>21489494.9</v>
      </c>
      <c r="F138" s="17" t="n">
        <v>35126332.69</v>
      </c>
      <c r="G138" s="17">
        <f>D138+E138-F138</f>
        <v/>
      </c>
    </row>
    <row r="139" ht="15" customHeight="1" s="11">
      <c r="A139" s="16" t="inlineStr">
        <is>
          <t>456001</t>
        </is>
      </c>
      <c r="B139" s="16" t="inlineStr">
        <is>
          <t>COGS Fertigerzeugnisse XPS</t>
        </is>
      </c>
      <c r="C139" s="16" t="inlineStr">
        <is>
          <t>Gewinn und Verlust</t>
        </is>
      </c>
      <c r="D139" s="17" t="n">
        <v>0</v>
      </c>
      <c r="E139" s="17" t="n">
        <v>79952159.40000001</v>
      </c>
      <c r="F139" s="17" t="n">
        <v>66638309.89</v>
      </c>
      <c r="G139" s="17">
        <f>D139+E139-F139</f>
        <v/>
      </c>
    </row>
    <row r="140" ht="15" customHeight="1" s="11">
      <c r="A140" s="16" t="inlineStr">
        <is>
          <t>456010</t>
        </is>
      </c>
      <c r="B140" s="16" t="inlineStr">
        <is>
          <t>BV Fertigerzeugnisse XTB</t>
        </is>
      </c>
      <c r="C140" s="16" t="inlineStr">
        <is>
          <t>Gewinn und Verlust</t>
        </is>
      </c>
      <c r="D140" s="17" t="n">
        <v>0</v>
      </c>
      <c r="E140" s="17" t="n">
        <v>3632423.32</v>
      </c>
      <c r="F140" s="17" t="n">
        <v>5780377.3</v>
      </c>
      <c r="G140" s="17">
        <f>D140+E140-F140</f>
        <v/>
      </c>
    </row>
    <row r="141" ht="15" customHeight="1" s="11">
      <c r="A141" s="16" t="inlineStr">
        <is>
          <t>456011</t>
        </is>
      </c>
      <c r="B141" s="16" t="inlineStr">
        <is>
          <t>COGS Fertigerzeugnisse XTB</t>
        </is>
      </c>
      <c r="C141" s="16" t="inlineStr">
        <is>
          <t>Gewinn und Verlust</t>
        </is>
      </c>
      <c r="D141" s="17" t="n">
        <v>0</v>
      </c>
      <c r="E141" s="17" t="n">
        <v>15779245.25</v>
      </c>
      <c r="F141" s="17" t="n">
        <v>13579045.7</v>
      </c>
      <c r="G141" s="17">
        <f>D141+E141-F141</f>
        <v/>
      </c>
    </row>
    <row r="142" ht="15" customHeight="1" s="11">
      <c r="A142" s="16" t="inlineStr">
        <is>
          <t>480020</t>
        </is>
      </c>
      <c r="B142" s="16" t="inlineStr">
        <is>
          <t>Sonstige betriebliche Erträge Inland VOLL</t>
        </is>
      </c>
      <c r="C142" s="16" t="inlineStr">
        <is>
          <t>Gewinn und Verlust</t>
        </is>
      </c>
      <c r="D142" s="17" t="n">
        <v>0</v>
      </c>
      <c r="E142" s="17" t="n">
        <v>0</v>
      </c>
      <c r="F142" s="17" t="n">
        <v>1051.72</v>
      </c>
      <c r="G142" s="17">
        <f>D142+E142-F142</f>
        <v/>
      </c>
    </row>
    <row r="143" ht="15" customHeight="1" s="11">
      <c r="A143" s="16" t="inlineStr">
        <is>
          <t>480040</t>
        </is>
      </c>
      <c r="B143" s="16" t="inlineStr">
        <is>
          <t>Sonstige betriebliche Erträge Export-EU 0 %</t>
        </is>
      </c>
      <c r="C143" s="16" t="inlineStr">
        <is>
          <t>Gewinn und Verlust</t>
        </is>
      </c>
      <c r="D143" s="17" t="n">
        <v>0</v>
      </c>
      <c r="E143" s="17" t="n">
        <v>555.85</v>
      </c>
      <c r="F143" s="17" t="n">
        <v>2105.3</v>
      </c>
      <c r="G143" s="17">
        <f>D143+E143-F143</f>
        <v/>
      </c>
    </row>
    <row r="144" ht="15" customHeight="1" s="11">
      <c r="A144" s="16" t="inlineStr">
        <is>
          <t>482020</t>
        </is>
      </c>
      <c r="B144" s="16" t="inlineStr">
        <is>
          <t>Erträge Weiterv. Material/Anlagenteile Inland VOLL</t>
        </is>
      </c>
      <c r="C144" s="16" t="inlineStr">
        <is>
          <t>Gewinn und Verlust</t>
        </is>
      </c>
      <c r="D144" s="17" t="n">
        <v>0</v>
      </c>
      <c r="E144" s="17" t="n">
        <v>513</v>
      </c>
      <c r="F144" s="17" t="n">
        <v>2650.25</v>
      </c>
      <c r="G144" s="17">
        <f>D144+E144-F144</f>
        <v/>
      </c>
    </row>
    <row r="145" ht="15" customHeight="1" s="11">
      <c r="A145" s="16" t="inlineStr">
        <is>
          <t>485020</t>
        </is>
      </c>
      <c r="B145" s="16" t="inlineStr">
        <is>
          <t>Erträge Weiterverr. diverser Aufwand Inland VOLL</t>
        </is>
      </c>
      <c r="C145" s="16" t="inlineStr">
        <is>
          <t>Gewinn und Verlust</t>
        </is>
      </c>
      <c r="D145" s="17" t="n">
        <v>0</v>
      </c>
      <c r="E145" s="17" t="n">
        <v>0</v>
      </c>
      <c r="F145" s="17" t="n">
        <v>2652.97</v>
      </c>
      <c r="G145" s="17">
        <f>D145+E145-F145</f>
        <v/>
      </c>
    </row>
    <row r="146" ht="15" customHeight="1" s="11">
      <c r="A146" s="16" t="inlineStr">
        <is>
          <t>485040</t>
        </is>
      </c>
      <c r="B146" s="16" t="inlineStr">
        <is>
          <t>Erträge Weiterverr. diverser Aufwand Export-EU 0%</t>
        </is>
      </c>
      <c r="C146" s="16" t="inlineStr">
        <is>
          <t>Gewinn und Verlust</t>
        </is>
      </c>
      <c r="D146" s="17" t="n">
        <v>0</v>
      </c>
      <c r="E146" s="17" t="n">
        <v>1259.67</v>
      </c>
      <c r="F146" s="17" t="n">
        <v>4253.59</v>
      </c>
      <c r="G146" s="17">
        <f>D146+E146-F146</f>
        <v/>
      </c>
    </row>
    <row r="147" ht="15" customHeight="1" s="11">
      <c r="A147" s="16" t="inlineStr">
        <is>
          <t>485080</t>
        </is>
      </c>
      <c r="B147" s="16" t="inlineStr">
        <is>
          <t>Erträge Weiterverr. diverser Aufwand Rev. Charge EU</t>
        </is>
      </c>
      <c r="C147" s="16" t="inlineStr">
        <is>
          <t>Gewinn und Verlust</t>
        </is>
      </c>
      <c r="D147" s="17" t="n">
        <v>0</v>
      </c>
      <c r="E147" s="17" t="n">
        <v>11415.42</v>
      </c>
      <c r="F147" s="17" t="n">
        <v>36307.45</v>
      </c>
      <c r="G147" s="17">
        <f>D147+E147-F147</f>
        <v/>
      </c>
    </row>
    <row r="148" ht="15" customHeight="1" s="11">
      <c r="A148" s="16" t="inlineStr">
        <is>
          <t>485090</t>
        </is>
      </c>
      <c r="B148" s="16" t="inlineStr">
        <is>
          <t>Erträge Weiterverr. diverser Aufwand Rev. Charge Drittland</t>
        </is>
      </c>
      <c r="C148" s="16" t="inlineStr">
        <is>
          <t>Gewinn und Verlust</t>
        </is>
      </c>
      <c r="D148" s="17" t="n">
        <v>0</v>
      </c>
      <c r="E148" s="17" t="n">
        <v>0</v>
      </c>
      <c r="F148" s="17" t="n">
        <v>1165.56</v>
      </c>
      <c r="G148" s="17">
        <f>D148+E148-F148</f>
        <v/>
      </c>
    </row>
    <row r="149" ht="15" customHeight="1" s="11">
      <c r="A149" s="16" t="inlineStr">
        <is>
          <t>489000</t>
        </is>
      </c>
      <c r="B149" s="16" t="inlineStr">
        <is>
          <t>Versicherungsvergütungen</t>
        </is>
      </c>
      <c r="C149" s="16" t="inlineStr">
        <is>
          <t>Gewinn und Verlust</t>
        </is>
      </c>
      <c r="D149" s="17" t="n">
        <v>0</v>
      </c>
      <c r="E149" s="17" t="n">
        <v>0</v>
      </c>
      <c r="F149" s="17" t="n">
        <v>929.21</v>
      </c>
      <c r="G149" s="17">
        <f>D149+E149-F149</f>
        <v/>
      </c>
    </row>
    <row r="150" ht="15" customHeight="1" s="11">
      <c r="A150" s="16" t="inlineStr">
        <is>
          <t>500000</t>
        </is>
      </c>
      <c r="B150" s="16" t="inlineStr">
        <is>
          <t>Rohmaterialeinsatz - Polystyrol</t>
        </is>
      </c>
      <c r="C150" s="16" t="inlineStr">
        <is>
          <t>Gewinn und Verlust</t>
        </is>
      </c>
      <c r="D150" s="17" t="n">
        <v>0</v>
      </c>
      <c r="E150" s="17" t="n">
        <v>59502497.2</v>
      </c>
      <c r="F150" s="17" t="n">
        <v>33638512.51</v>
      </c>
      <c r="G150" s="17">
        <f>D150+E150-F150</f>
        <v/>
      </c>
    </row>
    <row r="151" ht="15" customHeight="1" s="11">
      <c r="A151" s="16" t="inlineStr">
        <is>
          <t>500100</t>
        </is>
      </c>
      <c r="B151" s="16" t="inlineStr">
        <is>
          <t>Rohmaterialeinsatz - Additive</t>
        </is>
      </c>
      <c r="C151" s="16" t="inlineStr">
        <is>
          <t>Gewinn und Verlust</t>
        </is>
      </c>
      <c r="D151" s="17" t="n">
        <v>0</v>
      </c>
      <c r="E151" s="17" t="n">
        <v>4628314.01</v>
      </c>
      <c r="F151" s="17" t="n">
        <v>2293508.36</v>
      </c>
      <c r="G151" s="17">
        <f>D151+E151-F151</f>
        <v/>
      </c>
    </row>
    <row r="152" ht="15" customHeight="1" s="11">
      <c r="A152" s="16" t="inlineStr">
        <is>
          <t>500200</t>
        </is>
      </c>
      <c r="B152" s="16" t="inlineStr">
        <is>
          <t>Rohmaterialeinsatz - Treibgase</t>
        </is>
      </c>
      <c r="C152" s="16" t="inlineStr">
        <is>
          <t>Gewinn und Verlust</t>
        </is>
      </c>
      <c r="D152" s="17" t="n">
        <v>0</v>
      </c>
      <c r="E152" s="17" t="n">
        <v>1399161.4</v>
      </c>
      <c r="F152" s="17" t="n">
        <v>170541.12</v>
      </c>
      <c r="G152" s="17">
        <f>D152+E152-F152</f>
        <v/>
      </c>
    </row>
    <row r="153" ht="15" customHeight="1" s="11">
      <c r="A153" s="16" t="inlineStr">
        <is>
          <t>500700</t>
        </is>
      </c>
      <c r="B153" s="16" t="inlineStr">
        <is>
          <t>Rohmaterialeinsatz - Sonstiges</t>
        </is>
      </c>
      <c r="C153" s="16" t="inlineStr">
        <is>
          <t>Gewinn und Verlust</t>
        </is>
      </c>
      <c r="D153" s="17" t="n">
        <v>0</v>
      </c>
      <c r="E153" s="17" t="n">
        <v>10284.17</v>
      </c>
      <c r="F153" s="17" t="n">
        <v>860.33</v>
      </c>
      <c r="G153" s="17">
        <f>D153+E153-F153</f>
        <v/>
      </c>
    </row>
    <row r="154" ht="15" customHeight="1" s="11">
      <c r="A154" s="16" t="inlineStr">
        <is>
          <t>501000</t>
        </is>
      </c>
      <c r="B154" s="16" t="inlineStr">
        <is>
          <t>Hilfsmaterialeinsatz</t>
        </is>
      </c>
      <c r="C154" s="16" t="inlineStr">
        <is>
          <t>Gewinn und Verlust</t>
        </is>
      </c>
      <c r="D154" s="17" t="n">
        <v>0</v>
      </c>
      <c r="E154" s="17" t="n">
        <v>4288.35</v>
      </c>
      <c r="F154" s="17" t="n">
        <v>214.5</v>
      </c>
      <c r="G154" s="17">
        <f>D154+E154-F154</f>
        <v/>
      </c>
    </row>
    <row r="155" ht="15" customHeight="1" s="11">
      <c r="A155" s="16" t="inlineStr">
        <is>
          <t>530000</t>
        </is>
      </c>
      <c r="B155" s="16" t="inlineStr">
        <is>
          <t>HW-Einsatz</t>
        </is>
      </c>
      <c r="C155" s="16" t="inlineStr">
        <is>
          <t>Gewinn und Verlust</t>
        </is>
      </c>
      <c r="D155" s="17" t="n">
        <v>0</v>
      </c>
      <c r="E155" s="17" t="n">
        <v>440762.79</v>
      </c>
      <c r="F155" s="17" t="n">
        <v>208884.86</v>
      </c>
      <c r="G155" s="17">
        <f>D155+E155-F155</f>
        <v/>
      </c>
    </row>
    <row r="156" ht="15" customHeight="1" s="11">
      <c r="A156" s="16" t="inlineStr">
        <is>
          <t>530020</t>
        </is>
      </c>
      <c r="B156" s="16" t="inlineStr">
        <is>
          <t>HW-Einsatz Umkehrdach-Vlies</t>
        </is>
      </c>
      <c r="C156" s="16" t="inlineStr">
        <is>
          <t>Gewinn und Verlust</t>
        </is>
      </c>
      <c r="D156" s="17" t="n">
        <v>0</v>
      </c>
      <c r="E156" s="17" t="n">
        <v>3200</v>
      </c>
      <c r="F156" s="17" t="n">
        <v>0</v>
      </c>
      <c r="G156" s="17">
        <f>D156+E156-F156</f>
        <v/>
      </c>
    </row>
    <row r="157" ht="15" customHeight="1" s="11">
      <c r="A157" s="16" t="inlineStr">
        <is>
          <t>533000</t>
        </is>
      </c>
      <c r="B157" s="16" t="inlineStr">
        <is>
          <t>HW-Einsatz UNI</t>
        </is>
      </c>
      <c r="C157" s="16" t="inlineStr">
        <is>
          <t>Gewinn und Verlust</t>
        </is>
      </c>
      <c r="D157" s="17" t="n">
        <v>0</v>
      </c>
      <c r="E157" s="17" t="n">
        <v>2747940.16</v>
      </c>
      <c r="F157" s="17" t="n">
        <v>240246.44</v>
      </c>
      <c r="G157" s="17">
        <f>D157+E157-F157</f>
        <v/>
      </c>
    </row>
    <row r="158" ht="15" customHeight="1" s="11">
      <c r="A158" s="16" t="inlineStr">
        <is>
          <t>533010</t>
        </is>
      </c>
      <c r="B158" s="16" t="inlineStr">
        <is>
          <t>(N/A) HW-Einsatz UNI -  Preisabweichung</t>
        </is>
      </c>
      <c r="C158" s="16" t="inlineStr">
        <is>
          <t>Gewinn und Verlust</t>
        </is>
      </c>
      <c r="D158" s="17" t="n">
        <v>0</v>
      </c>
      <c r="E158" s="17" t="n">
        <v>0</v>
      </c>
      <c r="F158" s="17" t="n">
        <v>2733.61</v>
      </c>
      <c r="G158" s="17">
        <f>D158+E158-F158</f>
        <v/>
      </c>
    </row>
    <row r="159" ht="15" customHeight="1" s="11">
      <c r="A159" s="16" t="inlineStr">
        <is>
          <t>535000</t>
        </is>
      </c>
      <c r="B159" s="16" t="inlineStr">
        <is>
          <t>HW-Einsatz XPS</t>
        </is>
      </c>
      <c r="C159" s="16" t="inlineStr">
        <is>
          <t>Gewinn und Verlust</t>
        </is>
      </c>
      <c r="D159" s="17" t="n">
        <v>0</v>
      </c>
      <c r="E159" s="17" t="n">
        <v>14447205.28</v>
      </c>
      <c r="F159" s="17" t="n">
        <v>81338.49000000001</v>
      </c>
      <c r="G159" s="17">
        <f>D159+E159-F159</f>
        <v/>
      </c>
    </row>
    <row r="160" ht="15" customHeight="1" s="11">
      <c r="A160" s="16" t="inlineStr">
        <is>
          <t>535010</t>
        </is>
      </c>
      <c r="B160" s="16" t="inlineStr">
        <is>
          <t>HW-Einsatz XPS - Preisabweichung</t>
        </is>
      </c>
      <c r="C160" s="16" t="inlineStr">
        <is>
          <t>Gewinn und Verlust</t>
        </is>
      </c>
      <c r="D160" s="17" t="n">
        <v>0</v>
      </c>
      <c r="E160" s="17" t="n">
        <v>4815024.06</v>
      </c>
      <c r="F160" s="17" t="n">
        <v>165022.76</v>
      </c>
      <c r="G160" s="17">
        <f>D160+E160-F160</f>
        <v/>
      </c>
    </row>
    <row r="161" ht="15" customHeight="1" s="11">
      <c r="A161" s="16" t="inlineStr">
        <is>
          <t>536000</t>
        </is>
      </c>
      <c r="B161" s="16" t="inlineStr">
        <is>
          <t>HW-Einsatz XTB</t>
        </is>
      </c>
      <c r="C161" s="16" t="inlineStr">
        <is>
          <t>Gewinn und Verlust</t>
        </is>
      </c>
      <c r="D161" s="17" t="n">
        <v>0</v>
      </c>
      <c r="E161" s="17" t="n">
        <v>5079368.46</v>
      </c>
      <c r="F161" s="17" t="n">
        <v>59492.6</v>
      </c>
      <c r="G161" s="17">
        <f>D161+E161-F161</f>
        <v/>
      </c>
    </row>
    <row r="162" ht="15" customHeight="1" s="11">
      <c r="A162" s="16" t="inlineStr">
        <is>
          <t>536010</t>
        </is>
      </c>
      <c r="B162" s="16" t="inlineStr">
        <is>
          <t>HW-Einsatz XTB - Preisabweichung</t>
        </is>
      </c>
      <c r="C162" s="16" t="inlineStr">
        <is>
          <t>Gewinn und Verlust</t>
        </is>
      </c>
      <c r="D162" s="17" t="n">
        <v>0</v>
      </c>
      <c r="E162" s="17" t="n">
        <v>261829.05</v>
      </c>
      <c r="F162" s="17" t="n">
        <v>1180446.12</v>
      </c>
      <c r="G162" s="17">
        <f>D162+E162-F162</f>
        <v/>
      </c>
    </row>
    <row r="163" ht="15" customHeight="1" s="11">
      <c r="A163" s="16" t="inlineStr">
        <is>
          <t>540000</t>
        </is>
      </c>
      <c r="B163" s="16" t="inlineStr">
        <is>
          <t>Verpackungsmaterialeinsatz</t>
        </is>
      </c>
      <c r="C163" s="16" t="inlineStr">
        <is>
          <t>Gewinn und Verlust</t>
        </is>
      </c>
      <c r="D163" s="17" t="n">
        <v>0</v>
      </c>
      <c r="E163" s="17" t="n">
        <v>1066564.97</v>
      </c>
      <c r="F163" s="17" t="n">
        <v>271828.14</v>
      </c>
      <c r="G163" s="17">
        <f>D163+E163-F163</f>
        <v/>
      </c>
    </row>
    <row r="164" ht="15" customHeight="1" s="11">
      <c r="A164" s="16" t="inlineStr">
        <is>
          <t>550000</t>
        </is>
      </c>
      <c r="B164" s="16" t="inlineStr">
        <is>
          <t>ARA-Gebühren</t>
        </is>
      </c>
      <c r="C164" s="16" t="inlineStr">
        <is>
          <t>Gewinn und Verlust</t>
        </is>
      </c>
      <c r="D164" s="17" t="n">
        <v>0</v>
      </c>
      <c r="E164" s="17" t="n">
        <v>199962.61</v>
      </c>
      <c r="F164" s="17" t="n">
        <v>18072.43</v>
      </c>
      <c r="G164" s="17">
        <f>D164+E164-F164</f>
        <v/>
      </c>
    </row>
    <row r="165" ht="15" customHeight="1" s="11">
      <c r="A165" s="16" t="inlineStr">
        <is>
          <t>560700</t>
        </is>
      </c>
      <c r="B165" s="16" t="inlineStr">
        <is>
          <t>Arbeitskleidung (Schuhe, Mäntel, Handschuhe, Brillen, ...)</t>
        </is>
      </c>
      <c r="C165" s="16" t="inlineStr">
        <is>
          <t>Gewinn und Verlust</t>
        </is>
      </c>
      <c r="D165" s="17" t="n">
        <v>0</v>
      </c>
      <c r="E165" s="17" t="n">
        <v>16974.42</v>
      </c>
      <c r="F165" s="17" t="n">
        <v>781.79</v>
      </c>
      <c r="G165" s="17">
        <f>D165+E165-F165</f>
        <v/>
      </c>
    </row>
    <row r="166" ht="15" customHeight="1" s="11">
      <c r="A166" s="16" t="inlineStr">
        <is>
          <t>560800</t>
        </is>
      </c>
      <c r="B166" s="16" t="inlineStr">
        <is>
          <t>Materialverbrauch Klein- u. Hilfsmaterial</t>
        </is>
      </c>
      <c r="C166" s="16" t="inlineStr">
        <is>
          <t>Gewinn und Verlust</t>
        </is>
      </c>
      <c r="D166" s="17" t="n">
        <v>0</v>
      </c>
      <c r="E166" s="17" t="n">
        <v>305309.31</v>
      </c>
      <c r="F166" s="17" t="n">
        <v>172977.87</v>
      </c>
      <c r="G166" s="17">
        <f>D166+E166-F166</f>
        <v/>
      </c>
    </row>
    <row r="167" ht="15" customHeight="1" s="11">
      <c r="A167" s="16" t="inlineStr">
        <is>
          <t>560990</t>
        </is>
      </c>
      <c r="B167" s="16" t="inlineStr">
        <is>
          <t>Zwischenkonto EK - IM/MAINT</t>
        </is>
      </c>
      <c r="C167" s="16" t="inlineStr">
        <is>
          <t>Gewinn und Verlust</t>
        </is>
      </c>
      <c r="D167" s="17" t="n">
        <v>0</v>
      </c>
      <c r="E167" s="17" t="n">
        <v>18815.37</v>
      </c>
      <c r="F167" s="17" t="n">
        <v>18732.95</v>
      </c>
      <c r="G167" s="17">
        <f>D167+E167-F167</f>
        <v/>
      </c>
    </row>
    <row r="168" ht="15" customHeight="1" s="11">
      <c r="A168" s="16" t="inlineStr">
        <is>
          <t>572000</t>
        </is>
      </c>
      <c r="B168" s="16" t="inlineStr">
        <is>
          <t>Stromkosten-Produktion</t>
        </is>
      </c>
      <c r="C168" s="16" t="inlineStr">
        <is>
          <t>Gewinn und Verlust</t>
        </is>
      </c>
      <c r="D168" s="17" t="n">
        <v>0</v>
      </c>
      <c r="E168" s="17" t="n">
        <v>4413547.52</v>
      </c>
      <c r="F168" s="17" t="n">
        <v>2979005.56</v>
      </c>
      <c r="G168" s="17">
        <f>D168+E168-F168</f>
        <v/>
      </c>
    </row>
    <row r="169" ht="15" customHeight="1" s="11">
      <c r="A169" s="16" t="inlineStr">
        <is>
          <t>580000</t>
        </is>
      </c>
      <c r="B169" s="16" t="inlineStr">
        <is>
          <t>Eingangsfrachten (inkl.Zölle) Materialien</t>
        </is>
      </c>
      <c r="C169" s="16" t="inlineStr">
        <is>
          <t>Gewinn und Verlust</t>
        </is>
      </c>
      <c r="D169" s="17" t="n">
        <v>0</v>
      </c>
      <c r="E169" s="17" t="n">
        <v>30880.6</v>
      </c>
      <c r="F169" s="17" t="n">
        <v>0</v>
      </c>
      <c r="G169" s="17">
        <f>D169+E169-F169</f>
        <v/>
      </c>
    </row>
    <row r="170" ht="15" customHeight="1" s="11">
      <c r="A170" s="16" t="inlineStr">
        <is>
          <t>588000</t>
        </is>
      </c>
      <c r="B170" s="16" t="inlineStr">
        <is>
          <t>Entsorgung Müll</t>
        </is>
      </c>
      <c r="C170" s="16" t="inlineStr">
        <is>
          <t>Gewinn und Verlust</t>
        </is>
      </c>
      <c r="D170" s="17" t="n">
        <v>0</v>
      </c>
      <c r="E170" s="17" t="n">
        <v>18942.97</v>
      </c>
      <c r="F170" s="17" t="n">
        <v>300</v>
      </c>
      <c r="G170" s="17">
        <f>D170+E170-F170</f>
        <v/>
      </c>
    </row>
    <row r="171" ht="15" customHeight="1" s="11">
      <c r="A171" s="16" t="inlineStr">
        <is>
          <t>590000</t>
        </is>
      </c>
      <c r="B171" s="16" t="inlineStr">
        <is>
          <t>Skontoerträge</t>
        </is>
      </c>
      <c r="C171" s="16" t="inlineStr">
        <is>
          <t>Gewinn und Verlust</t>
        </is>
      </c>
      <c r="D171" s="17" t="n">
        <v>0</v>
      </c>
      <c r="E171" s="17" t="n">
        <v>4075.18</v>
      </c>
      <c r="F171" s="17" t="n">
        <v>15964.08</v>
      </c>
      <c r="G171" s="17">
        <f>D171+E171-F171</f>
        <v/>
      </c>
    </row>
    <row r="172" ht="15" customHeight="1" s="11">
      <c r="A172" s="16" t="inlineStr">
        <is>
          <t>591000</t>
        </is>
      </c>
      <c r="B172" s="16" t="inlineStr">
        <is>
          <t>Skontoerträge EU</t>
        </is>
      </c>
      <c r="C172" s="16" t="inlineStr">
        <is>
          <t>Gewinn und Verlust</t>
        </is>
      </c>
      <c r="D172" s="17" t="n">
        <v>0</v>
      </c>
      <c r="E172" s="17" t="n">
        <v>0</v>
      </c>
      <c r="F172" s="17" t="n">
        <v>1400.12</v>
      </c>
      <c r="G172" s="17">
        <f>D172+E172-F172</f>
        <v/>
      </c>
    </row>
    <row r="173" ht="15" customHeight="1" s="11">
      <c r="A173" s="16" t="inlineStr">
        <is>
          <t>592002</t>
        </is>
      </c>
      <c r="B173" s="16" t="inlineStr">
        <is>
          <t>WIP Fertigungskosten</t>
        </is>
      </c>
      <c r="C173" s="16" t="inlineStr">
        <is>
          <t>Gewinn und Verlust</t>
        </is>
      </c>
      <c r="D173" s="17" t="n">
        <v>0</v>
      </c>
      <c r="E173" s="17" t="n">
        <v>6199027.28</v>
      </c>
      <c r="F173" s="17" t="n">
        <v>6199027.28</v>
      </c>
      <c r="G173" s="17">
        <f>D173+E173-F173</f>
        <v/>
      </c>
    </row>
    <row r="174" ht="15" customHeight="1" s="11">
      <c r="A174" s="16" t="inlineStr">
        <is>
          <t>592003</t>
        </is>
      </c>
      <c r="B174" s="16" t="inlineStr">
        <is>
          <t>WIP Indirekte Kosten</t>
        </is>
      </c>
      <c r="C174" s="16" t="inlineStr">
        <is>
          <t>Gewinn und Verlust</t>
        </is>
      </c>
      <c r="D174" s="17" t="n">
        <v>0</v>
      </c>
      <c r="E174" s="17" t="n">
        <v>3708856.82</v>
      </c>
      <c r="F174" s="17" t="n">
        <v>3708856.82</v>
      </c>
      <c r="G174" s="17">
        <f>D174+E174-F174</f>
        <v/>
      </c>
    </row>
    <row r="175" ht="15" customHeight="1" s="11">
      <c r="A175" s="16" t="inlineStr">
        <is>
          <t>595010</t>
        </is>
      </c>
      <c r="B175" s="16" t="inlineStr">
        <is>
          <t>XPS Anlage 8 (KR00.00)</t>
        </is>
      </c>
      <c r="C175" s="16" t="inlineStr">
        <is>
          <t>Gewinn und Verlust</t>
        </is>
      </c>
      <c r="D175" s="17" t="n">
        <v>0</v>
      </c>
      <c r="E175" s="17" t="n">
        <v>2707259.85</v>
      </c>
      <c r="F175" s="17" t="n">
        <v>0</v>
      </c>
      <c r="G175" s="17">
        <f>D175+E175-F175</f>
        <v/>
      </c>
    </row>
    <row r="176" ht="15" customHeight="1" s="11">
      <c r="A176" s="16" t="inlineStr">
        <is>
          <t>595015</t>
        </is>
      </c>
      <c r="B176" s="16" t="inlineStr">
        <is>
          <t>XPS Anlage 9 (KS00.00)</t>
        </is>
      </c>
      <c r="C176" s="16" t="inlineStr">
        <is>
          <t>Gewinn und Verlust</t>
        </is>
      </c>
      <c r="D176" s="17" t="n">
        <v>0</v>
      </c>
      <c r="E176" s="17" t="n">
        <v>3140790.09</v>
      </c>
      <c r="F176" s="17" t="n">
        <v>0</v>
      </c>
      <c r="G176" s="17">
        <f>D176+E176-F176</f>
        <v/>
      </c>
    </row>
    <row r="177" ht="15" customHeight="1" s="11">
      <c r="A177" s="16" t="inlineStr">
        <is>
          <t>595020</t>
        </is>
      </c>
      <c r="B177" s="16" t="inlineStr">
        <is>
          <t>Mauerrandstreifen (KE81.00)</t>
        </is>
      </c>
      <c r="C177" s="16" t="inlineStr">
        <is>
          <t>Gewinn und Verlust</t>
        </is>
      </c>
      <c r="D177" s="17" t="n">
        <v>0</v>
      </c>
      <c r="E177" s="17" t="n">
        <v>1823.18</v>
      </c>
      <c r="F177" s="17" t="n">
        <v>0</v>
      </c>
      <c r="G177" s="17">
        <f>D177+E177-F177</f>
        <v/>
      </c>
    </row>
    <row r="178" ht="15" customHeight="1" s="11">
      <c r="A178" s="16" t="inlineStr">
        <is>
          <t>595021</t>
        </is>
      </c>
      <c r="B178" s="16" t="inlineStr">
        <is>
          <t>Z-FOLIE (KE82.00)</t>
        </is>
      </c>
      <c r="C178" s="16" t="inlineStr">
        <is>
          <t>Gewinn und Verlust</t>
        </is>
      </c>
      <c r="D178" s="17" t="n">
        <v>0</v>
      </c>
      <c r="E178" s="17" t="n">
        <v>5828.18</v>
      </c>
      <c r="F178" s="17" t="n">
        <v>0</v>
      </c>
      <c r="G178" s="17">
        <f>D178+E178-F178</f>
        <v/>
      </c>
    </row>
    <row r="179" ht="15" customHeight="1" s="11">
      <c r="A179" s="16" t="inlineStr">
        <is>
          <t>595022</t>
        </is>
      </c>
      <c r="B179" s="16" t="inlineStr">
        <is>
          <t>DRAIN (KE83.00)</t>
        </is>
      </c>
      <c r="C179" s="16" t="inlineStr">
        <is>
          <t>Gewinn und Verlust</t>
        </is>
      </c>
      <c r="D179" s="17" t="n">
        <v>0</v>
      </c>
      <c r="E179" s="17" t="n">
        <v>31282.26</v>
      </c>
      <c r="F179" s="17" t="n">
        <v>0</v>
      </c>
      <c r="G179" s="17">
        <f>D179+E179-F179</f>
        <v/>
      </c>
    </row>
    <row r="180" ht="15" customHeight="1" s="11">
      <c r="A180" s="16" t="inlineStr">
        <is>
          <t>595100</t>
        </is>
      </c>
      <c r="B180" s="16" t="inlineStr">
        <is>
          <t>Silolager, XPS Polystyrol inkl. Regenerat (KU50.00)</t>
        </is>
      </c>
      <c r="C180" s="16" t="inlineStr">
        <is>
          <t>Gewinn und Verlust</t>
        </is>
      </c>
      <c r="D180" s="17" t="n">
        <v>0</v>
      </c>
      <c r="E180" s="17" t="n">
        <v>194788.66</v>
      </c>
      <c r="F180" s="17" t="n">
        <v>0.09</v>
      </c>
      <c r="G180" s="17">
        <f>D180+E180-F180</f>
        <v/>
      </c>
    </row>
    <row r="181" ht="15" customHeight="1" s="11">
      <c r="A181" s="16" t="inlineStr">
        <is>
          <t>595110</t>
        </is>
      </c>
      <c r="B181" s="16" t="inlineStr">
        <is>
          <t>Gasanlage, Additive inkl. Lagerung (KU55.00)</t>
        </is>
      </c>
      <c r="C181" s="16" t="inlineStr">
        <is>
          <t>Gewinn und Verlust</t>
        </is>
      </c>
      <c r="D181" s="17" t="n">
        <v>0</v>
      </c>
      <c r="E181" s="17" t="n">
        <v>153353.92</v>
      </c>
      <c r="F181" s="17" t="n">
        <v>0</v>
      </c>
      <c r="G181" s="17">
        <f>D181+E181-F181</f>
        <v/>
      </c>
    </row>
    <row r="182" ht="15" customHeight="1" s="11">
      <c r="A182" s="16" t="inlineStr">
        <is>
          <t>595200</t>
        </is>
      </c>
      <c r="B182" s="16" t="inlineStr">
        <is>
          <t>Thermobonding allgemein (KT00.00)</t>
        </is>
      </c>
      <c r="C182" s="16" t="inlineStr">
        <is>
          <t>Gewinn und Verlust</t>
        </is>
      </c>
      <c r="D182" s="17" t="n">
        <v>0</v>
      </c>
      <c r="E182" s="17" t="n">
        <v>347080.74</v>
      </c>
      <c r="F182" s="17" t="n">
        <v>0</v>
      </c>
      <c r="G182" s="17">
        <f>D182+E182-F182</f>
        <v/>
      </c>
    </row>
    <row r="183" ht="15" customHeight="1" s="11">
      <c r="A183" s="16" t="inlineStr">
        <is>
          <t>595210</t>
        </is>
      </c>
      <c r="B183" s="16" t="inlineStr">
        <is>
          <t>Sonderzuschnitte allgemein (KE80.00)</t>
        </is>
      </c>
      <c r="C183" s="16" t="inlineStr">
        <is>
          <t>Gewinn und Verlust</t>
        </is>
      </c>
      <c r="D183" s="17" t="n">
        <v>0</v>
      </c>
      <c r="E183" s="17" t="n">
        <v>51754.11</v>
      </c>
      <c r="F183" s="17" t="n">
        <v>0</v>
      </c>
      <c r="G183" s="17">
        <f>D183+E183-F183</f>
        <v/>
      </c>
    </row>
    <row r="184" ht="15" customHeight="1" s="11">
      <c r="A184" s="16" t="inlineStr">
        <is>
          <t>595220</t>
        </is>
      </c>
      <c r="B184" s="16" t="inlineStr">
        <is>
          <t>Verpackung, Anlage 8-9 (KU72.00)</t>
        </is>
      </c>
      <c r="C184" s="16" t="inlineStr">
        <is>
          <t>Gewinn und Verlust</t>
        </is>
      </c>
      <c r="D184" s="17" t="n">
        <v>0</v>
      </c>
      <c r="E184" s="17" t="n">
        <v>998704.01</v>
      </c>
      <c r="F184" s="17" t="n">
        <v>0</v>
      </c>
      <c r="G184" s="17">
        <f>D184+E184-F184</f>
        <v/>
      </c>
    </row>
    <row r="185" ht="15" customHeight="1" s="11">
      <c r="A185" s="16" t="inlineStr">
        <is>
          <t>595300</t>
        </is>
      </c>
      <c r="B185" s="16" t="inlineStr">
        <is>
          <t>Hauptgebäude inkl. Logistik (KX04.00)</t>
        </is>
      </c>
      <c r="C185" s="16" t="inlineStr">
        <is>
          <t>Gewinn und Verlust</t>
        </is>
      </c>
      <c r="D185" s="17" t="n">
        <v>0</v>
      </c>
      <c r="E185" s="17" t="n">
        <v>774585.16</v>
      </c>
      <c r="F185" s="17" t="n">
        <v>0</v>
      </c>
      <c r="G185" s="17">
        <f>D185+E185-F185</f>
        <v/>
      </c>
    </row>
    <row r="186" ht="15" customHeight="1" s="11">
      <c r="A186" s="16" t="inlineStr">
        <is>
          <t>595310</t>
        </is>
      </c>
      <c r="B186" s="16" t="inlineStr">
        <is>
          <t>Lagerhallen (KX06.00)</t>
        </is>
      </c>
      <c r="C186" s="16" t="inlineStr">
        <is>
          <t>Gewinn und Verlust</t>
        </is>
      </c>
      <c r="D186" s="17" t="n">
        <v>0</v>
      </c>
      <c r="E186" s="17" t="n">
        <v>26625.97</v>
      </c>
      <c r="F186" s="17" t="n">
        <v>0</v>
      </c>
      <c r="G186" s="17">
        <f>D186+E186-F186</f>
        <v/>
      </c>
    </row>
    <row r="187" ht="15" customHeight="1" s="11">
      <c r="A187" s="16" t="inlineStr">
        <is>
          <t>595320</t>
        </is>
      </c>
      <c r="B187" s="16" t="inlineStr">
        <is>
          <t>Freilagerflächen (KX08.00)</t>
        </is>
      </c>
      <c r="C187" s="16" t="inlineStr">
        <is>
          <t>Gewinn und Verlust</t>
        </is>
      </c>
      <c r="D187" s="17" t="n">
        <v>0</v>
      </c>
      <c r="E187" s="17" t="n">
        <v>110735.98</v>
      </c>
      <c r="F187" s="17" t="n">
        <v>0</v>
      </c>
      <c r="G187" s="17">
        <f>D187+E187-F187</f>
        <v/>
      </c>
    </row>
    <row r="188" ht="15" customHeight="1" s="11">
      <c r="A188" s="16" t="inlineStr">
        <is>
          <t>595330</t>
        </is>
      </c>
      <c r="B188" s="16" t="inlineStr">
        <is>
          <t>Labor, Qualitätskontrolle (KX09.00)</t>
        </is>
      </c>
      <c r="C188" s="16" t="inlineStr">
        <is>
          <t>Gewinn und Verlust</t>
        </is>
      </c>
      <c r="D188" s="17" t="n">
        <v>0</v>
      </c>
      <c r="E188" s="17" t="n">
        <v>311549.99</v>
      </c>
      <c r="F188" s="17" t="n">
        <v>0</v>
      </c>
      <c r="G188" s="17">
        <f>D188+E188-F188</f>
        <v/>
      </c>
    </row>
    <row r="189" ht="15" customHeight="1" s="11">
      <c r="A189" s="16" t="inlineStr">
        <is>
          <t>595340</t>
        </is>
      </c>
      <c r="B189" s="16" t="inlineStr">
        <is>
          <t>Logistik und Verladung (KX14.00)</t>
        </is>
      </c>
      <c r="C189" s="16" t="inlineStr">
        <is>
          <t>Gewinn und Verlust</t>
        </is>
      </c>
      <c r="D189" s="17" t="n">
        <v>0</v>
      </c>
      <c r="E189" s="17" t="n">
        <v>512775.02</v>
      </c>
      <c r="F189" s="17" t="n">
        <v>0</v>
      </c>
      <c r="G189" s="17">
        <f>D189+E189-F189</f>
        <v/>
      </c>
    </row>
    <row r="190" ht="15" customHeight="1" s="11">
      <c r="A190" s="16" t="inlineStr">
        <is>
          <t>595350</t>
        </is>
      </c>
      <c r="B190" s="16" t="inlineStr">
        <is>
          <t>Stapler (KX15.00)</t>
        </is>
      </c>
      <c r="C190" s="16" t="inlineStr">
        <is>
          <t>Gewinn und Verlust</t>
        </is>
      </c>
      <c r="D190" s="17" t="n">
        <v>0</v>
      </c>
      <c r="E190" s="17" t="n">
        <v>73954.75</v>
      </c>
      <c r="F190" s="17" t="n">
        <v>0</v>
      </c>
      <c r="G190" s="17">
        <f>D190+E190-F190</f>
        <v/>
      </c>
    </row>
    <row r="191" ht="15" customHeight="1" s="11">
      <c r="A191" s="16" t="inlineStr">
        <is>
          <t>595380</t>
        </is>
      </c>
      <c r="B191" s="16" t="inlineStr">
        <is>
          <t>Müllentsorgung (KX16.00)</t>
        </is>
      </c>
      <c r="C191" s="16" t="inlineStr">
        <is>
          <t>Gewinn und Verlust</t>
        </is>
      </c>
      <c r="D191" s="17" t="n">
        <v>0</v>
      </c>
      <c r="E191" s="17" t="n">
        <v>18241.77</v>
      </c>
      <c r="F191" s="17" t="n">
        <v>0</v>
      </c>
      <c r="G191" s="17">
        <f>D191+E191-F191</f>
        <v/>
      </c>
    </row>
    <row r="192" ht="15" customHeight="1" s="11">
      <c r="A192" s="16" t="inlineStr">
        <is>
          <t>595390</t>
        </is>
      </c>
      <c r="B192" s="16" t="inlineStr">
        <is>
          <t>Werksverwaltung allgemein (KX90.00)</t>
        </is>
      </c>
      <c r="C192" s="16" t="inlineStr">
        <is>
          <t>Gewinn und Verlust</t>
        </is>
      </c>
      <c r="D192" s="17" t="n">
        <v>0</v>
      </c>
      <c r="E192" s="17" t="n">
        <v>59233.65</v>
      </c>
      <c r="F192" s="17" t="n">
        <v>0</v>
      </c>
      <c r="G192" s="17">
        <f>D192+E192-F192</f>
        <v/>
      </c>
    </row>
    <row r="193" ht="15" customHeight="1" s="11">
      <c r="A193" s="16" t="inlineStr">
        <is>
          <t>599010</t>
        </is>
      </c>
      <c r="B193" s="16" t="inlineStr">
        <is>
          <t>KST Ressource Entlastung</t>
        </is>
      </c>
      <c r="C193" s="16" t="inlineStr">
        <is>
          <t>Gewinn und Verlust</t>
        </is>
      </c>
      <c r="D193" s="17" t="n">
        <v>0</v>
      </c>
      <c r="E193" s="17" t="n">
        <v>6199027.28</v>
      </c>
      <c r="F193" s="17" t="n">
        <v>12086010.84</v>
      </c>
      <c r="G193" s="17">
        <f>D193+E193-F193</f>
        <v/>
      </c>
    </row>
    <row r="194" ht="15" customHeight="1" s="11">
      <c r="A194" s="16" t="inlineStr">
        <is>
          <t>599020</t>
        </is>
      </c>
      <c r="B194" s="16" t="inlineStr">
        <is>
          <t>KST IndKosten Entlastung</t>
        </is>
      </c>
      <c r="C194" s="16" t="inlineStr">
        <is>
          <t>Gewinn und Verlust</t>
        </is>
      </c>
      <c r="D194" s="17" t="n">
        <v>0</v>
      </c>
      <c r="E194" s="17" t="n">
        <v>3708857</v>
      </c>
      <c r="F194" s="17" t="n">
        <v>7342240.64</v>
      </c>
      <c r="G194" s="17">
        <f>D194+E194-F194</f>
        <v/>
      </c>
    </row>
    <row r="195" ht="15" customHeight="1" s="11">
      <c r="A195" s="16" t="inlineStr">
        <is>
          <t>600000</t>
        </is>
      </c>
      <c r="B195" s="16" t="inlineStr">
        <is>
          <t>Löhne</t>
        </is>
      </c>
      <c r="C195" s="16" t="inlineStr">
        <is>
          <t>Gewinn und Verlust</t>
        </is>
      </c>
      <c r="D195" s="17" t="n">
        <v>0</v>
      </c>
      <c r="E195" s="17" t="n">
        <v>1382435.49</v>
      </c>
      <c r="F195" s="17" t="n">
        <v>117251.33</v>
      </c>
      <c r="G195" s="17">
        <f>D195+E195-F195</f>
        <v/>
      </c>
    </row>
    <row r="196" ht="15" customHeight="1" s="11">
      <c r="A196" s="16" t="inlineStr">
        <is>
          <t>600200</t>
        </is>
      </c>
      <c r="B196" s="16" t="inlineStr">
        <is>
          <t>Sonn- und Feiertagszuschläge Löhne</t>
        </is>
      </c>
      <c r="C196" s="16" t="inlineStr">
        <is>
          <t>Gewinn und Verlust</t>
        </is>
      </c>
      <c r="D196" s="17" t="n">
        <v>0</v>
      </c>
      <c r="E196" s="17" t="n">
        <v>118356.96</v>
      </c>
      <c r="F196" s="17" t="n">
        <v>12200.53</v>
      </c>
      <c r="G196" s="17">
        <f>D196+E196-F196</f>
        <v/>
      </c>
    </row>
    <row r="197" ht="15" customHeight="1" s="11">
      <c r="A197" s="16" t="inlineStr">
        <is>
          <t>600250</t>
        </is>
      </c>
      <c r="B197" s="16" t="inlineStr">
        <is>
          <t>Nachtzuschläge Löhne</t>
        </is>
      </c>
      <c r="C197" s="16" t="inlineStr">
        <is>
          <t>Gewinn und Verlust</t>
        </is>
      </c>
      <c r="D197" s="17" t="n">
        <v>0</v>
      </c>
      <c r="E197" s="17" t="n">
        <v>79139.60000000001</v>
      </c>
      <c r="F197" s="17" t="n">
        <v>6886.2</v>
      </c>
      <c r="G197" s="17">
        <f>D197+E197-F197</f>
        <v/>
      </c>
    </row>
    <row r="198" ht="15" customHeight="1" s="11">
      <c r="A198" s="16" t="inlineStr">
        <is>
          <t>600300</t>
        </is>
      </c>
      <c r="B198" s="16" t="inlineStr">
        <is>
          <t>Schichtzulagen Löhne</t>
        </is>
      </c>
      <c r="C198" s="16" t="inlineStr">
        <is>
          <t>Gewinn und Verlust</t>
        </is>
      </c>
      <c r="D198" s="17" t="n">
        <v>0</v>
      </c>
      <c r="E198" s="17" t="n">
        <v>22070</v>
      </c>
      <c r="F198" s="17" t="n">
        <v>1560</v>
      </c>
      <c r="G198" s="17">
        <f>D198+E198-F198</f>
        <v/>
      </c>
    </row>
    <row r="199" ht="15" customHeight="1" s="11">
      <c r="A199" s="16" t="inlineStr">
        <is>
          <t>600400</t>
        </is>
      </c>
      <c r="B199" s="16" t="inlineStr">
        <is>
          <t>Prämien Löhne</t>
        </is>
      </c>
      <c r="C199" s="16" t="inlineStr">
        <is>
          <t>Gewinn und Verlust</t>
        </is>
      </c>
      <c r="D199" s="17" t="n">
        <v>0</v>
      </c>
      <c r="E199" s="17" t="n">
        <v>25700</v>
      </c>
      <c r="F199" s="17" t="n">
        <v>450</v>
      </c>
      <c r="G199" s="17">
        <f>D199+E199-F199</f>
        <v/>
      </c>
    </row>
    <row r="200" ht="15" customHeight="1" s="11">
      <c r="A200" s="16" t="inlineStr">
        <is>
          <t>600500</t>
        </is>
      </c>
      <c r="B200" s="16" t="inlineStr">
        <is>
          <t>Löhne EFZG</t>
        </is>
      </c>
      <c r="C200" s="16" t="inlineStr">
        <is>
          <t>Gewinn und Verlust</t>
        </is>
      </c>
      <c r="D200" s="17" t="n">
        <v>0</v>
      </c>
      <c r="E200" s="17" t="n">
        <v>242570.32</v>
      </c>
      <c r="F200" s="17" t="n">
        <v>13547.48</v>
      </c>
      <c r="G200" s="17">
        <f>D200+E200-F200</f>
        <v/>
      </c>
    </row>
    <row r="201" ht="15" customHeight="1" s="11">
      <c r="A201" s="16" t="inlineStr">
        <is>
          <t>600600</t>
        </is>
      </c>
      <c r="B201" s="16" t="inlineStr">
        <is>
          <t>Urlaubs- / Feiertagsentgelt Löhne</t>
        </is>
      </c>
      <c r="C201" s="16" t="inlineStr">
        <is>
          <t>Gewinn und Verlust</t>
        </is>
      </c>
      <c r="D201" s="17" t="n">
        <v>0</v>
      </c>
      <c r="E201" s="17" t="n">
        <v>140188.48</v>
      </c>
      <c r="F201" s="17" t="n">
        <v>9067.120000000001</v>
      </c>
      <c r="G201" s="17">
        <f>D201+E201-F201</f>
        <v/>
      </c>
    </row>
    <row r="202" ht="15" customHeight="1" s="11">
      <c r="A202" s="16" t="inlineStr">
        <is>
          <t>610000</t>
        </is>
      </c>
      <c r="B202" s="16" t="inlineStr">
        <is>
          <t>Sonderzahlung Arbeiter</t>
        </is>
      </c>
      <c r="C202" s="16" t="inlineStr">
        <is>
          <t>Gewinn und Verlust</t>
        </is>
      </c>
      <c r="D202" s="17" t="n">
        <v>0</v>
      </c>
      <c r="E202" s="17" t="n">
        <v>1326854.88</v>
      </c>
      <c r="F202" s="17" t="n">
        <v>1195409.44</v>
      </c>
      <c r="G202" s="17">
        <f>D202+E202-F202</f>
        <v/>
      </c>
    </row>
    <row r="203" ht="15" customHeight="1" s="11">
      <c r="A203" s="16" t="inlineStr">
        <is>
          <t>620000</t>
        </is>
      </c>
      <c r="B203" s="16" t="inlineStr">
        <is>
          <t>Gehälter</t>
        </is>
      </c>
      <c r="C203" s="16" t="inlineStr">
        <is>
          <t>Gewinn und Verlust</t>
        </is>
      </c>
      <c r="D203" s="17" t="n">
        <v>0</v>
      </c>
      <c r="E203" s="17" t="n">
        <v>2818447.09</v>
      </c>
      <c r="F203" s="17" t="n">
        <v>215764.64</v>
      </c>
      <c r="G203" s="17">
        <f>D203+E203-F203</f>
        <v/>
      </c>
    </row>
    <row r="204" ht="15" customHeight="1" s="11">
      <c r="A204" s="16" t="inlineStr">
        <is>
          <t>620080</t>
        </is>
      </c>
      <c r="B204" s="16" t="inlineStr">
        <is>
          <t>Aufwand Sachbezug steuerbar</t>
        </is>
      </c>
      <c r="C204" s="16" t="inlineStr">
        <is>
          <t>Gewinn und Verlust</t>
        </is>
      </c>
      <c r="D204" s="17" t="n">
        <v>0</v>
      </c>
      <c r="E204" s="17" t="n">
        <v>81362.74000000001</v>
      </c>
      <c r="F204" s="17" t="n">
        <v>8822.129999999999</v>
      </c>
      <c r="G204" s="17">
        <f>D204+E204-F204</f>
        <v/>
      </c>
    </row>
    <row r="205" ht="15" customHeight="1" s="11">
      <c r="A205" s="16" t="inlineStr">
        <is>
          <t>620090</t>
        </is>
      </c>
      <c r="B205" s="16" t="inlineStr">
        <is>
          <t>Diff. USt BMG zu Sachbezug</t>
        </is>
      </c>
      <c r="C205" s="16" t="inlineStr">
        <is>
          <t>Gewinn und Verlust</t>
        </is>
      </c>
      <c r="D205" s="17" t="n">
        <v>0</v>
      </c>
      <c r="E205" s="17" t="n">
        <v>34011.15</v>
      </c>
      <c r="F205" s="17" t="n">
        <v>614</v>
      </c>
      <c r="G205" s="17">
        <f>D205+E205-F205</f>
        <v/>
      </c>
    </row>
    <row r="206" ht="15" customHeight="1" s="11">
      <c r="A206" s="16" t="inlineStr">
        <is>
          <t>620200</t>
        </is>
      </c>
      <c r="B206" s="16" t="inlineStr">
        <is>
          <t>Sonn-/FT-Zuschläge Gehälter</t>
        </is>
      </c>
      <c r="C206" s="16" t="inlineStr">
        <is>
          <t>Gewinn und Verlust</t>
        </is>
      </c>
      <c r="D206" s="17" t="n">
        <v>0</v>
      </c>
      <c r="E206" s="17" t="n">
        <v>49.16</v>
      </c>
      <c r="F206" s="17" t="n">
        <v>0</v>
      </c>
      <c r="G206" s="17">
        <f>D206+E206-F206</f>
        <v/>
      </c>
    </row>
    <row r="207" ht="15" customHeight="1" s="11">
      <c r="A207" s="16" t="inlineStr">
        <is>
          <t>620250</t>
        </is>
      </c>
      <c r="B207" s="16" t="inlineStr">
        <is>
          <t>Nachtzuschläge Gehälter</t>
        </is>
      </c>
      <c r="C207" s="16" t="inlineStr">
        <is>
          <t>Gewinn und Verlust</t>
        </is>
      </c>
      <c r="D207" s="17" t="n">
        <v>0</v>
      </c>
      <c r="E207" s="17" t="n">
        <v>16.27</v>
      </c>
      <c r="F207" s="17" t="n">
        <v>0</v>
      </c>
      <c r="G207" s="17">
        <f>D207+E207-F207</f>
        <v/>
      </c>
    </row>
    <row r="208" ht="15" customHeight="1" s="11">
      <c r="A208" s="16" t="inlineStr">
        <is>
          <t>620300</t>
        </is>
      </c>
      <c r="B208" s="16" t="inlineStr">
        <is>
          <t>Schichtzulagen Gehalt</t>
        </is>
      </c>
      <c r="C208" s="16" t="inlineStr">
        <is>
          <t>Gewinn und Verlust</t>
        </is>
      </c>
      <c r="D208" s="17" t="n">
        <v>0</v>
      </c>
      <c r="E208" s="17" t="n">
        <v>8000</v>
      </c>
      <c r="F208" s="17" t="n">
        <v>660</v>
      </c>
      <c r="G208" s="17">
        <f>D208+E208-F208</f>
        <v/>
      </c>
    </row>
    <row r="209" ht="15" customHeight="1" s="11">
      <c r="A209" s="16" t="inlineStr">
        <is>
          <t>620400</t>
        </is>
      </c>
      <c r="B209" s="16" t="inlineStr">
        <is>
          <t>Prämien Gehälter</t>
        </is>
      </c>
      <c r="C209" s="16" t="inlineStr">
        <is>
          <t>Gewinn und Verlust</t>
        </is>
      </c>
      <c r="D209" s="17" t="n">
        <v>0</v>
      </c>
      <c r="E209" s="17" t="n">
        <v>1530936.38</v>
      </c>
      <c r="F209" s="17" t="n">
        <v>1335222.04</v>
      </c>
      <c r="G209" s="17">
        <f>D209+E209-F209</f>
        <v/>
      </c>
    </row>
    <row r="210" ht="15" customHeight="1" s="11">
      <c r="A210" s="16" t="inlineStr">
        <is>
          <t>630000</t>
        </is>
      </c>
      <c r="B210" s="16" t="inlineStr">
        <is>
          <t>Sonderzahlung Angestellte</t>
        </is>
      </c>
      <c r="C210" s="16" t="inlineStr">
        <is>
          <t>Gewinn und Verlust</t>
        </is>
      </c>
      <c r="D210" s="17" t="n">
        <v>0</v>
      </c>
      <c r="E210" s="17" t="n">
        <v>1522898.01</v>
      </c>
      <c r="F210" s="17" t="n">
        <v>1328088.34</v>
      </c>
      <c r="G210" s="17">
        <f>D210+E210-F210</f>
        <v/>
      </c>
    </row>
    <row r="211" ht="15" customHeight="1" s="11">
      <c r="A211" s="16" t="inlineStr">
        <is>
          <t>635080</t>
        </is>
      </c>
      <c r="B211" s="16" t="inlineStr">
        <is>
          <t>Ertrag aus Sachbezug VOLL</t>
        </is>
      </c>
      <c r="C211" s="16" t="inlineStr">
        <is>
          <t>Gewinn und Verlust</t>
        </is>
      </c>
      <c r="D211" s="17" t="n">
        <v>0</v>
      </c>
      <c r="E211" s="17" t="n">
        <v>9436.129999999999</v>
      </c>
      <c r="F211" s="17" t="n">
        <v>98459.45</v>
      </c>
      <c r="G211" s="17">
        <f>D211+E211-F211</f>
        <v/>
      </c>
    </row>
    <row r="212" ht="15" customHeight="1" s="11">
      <c r="A212" s="16" t="inlineStr">
        <is>
          <t>640000</t>
        </is>
      </c>
      <c r="B212" s="16" t="inlineStr">
        <is>
          <t>Abfertigungen Arbeiter</t>
        </is>
      </c>
      <c r="C212" s="16" t="inlineStr">
        <is>
          <t>Gewinn und Verlust</t>
        </is>
      </c>
      <c r="D212" s="17" t="n">
        <v>0</v>
      </c>
      <c r="E212" s="17" t="n">
        <v>15731.52</v>
      </c>
      <c r="F212" s="17" t="n">
        <v>0</v>
      </c>
      <c r="G212" s="17">
        <f>D212+E212-F212</f>
        <v/>
      </c>
    </row>
    <row r="213" ht="15" customHeight="1" s="11">
      <c r="A213" s="16" t="inlineStr">
        <is>
          <t>646000</t>
        </is>
      </c>
      <c r="B213" s="16" t="inlineStr">
        <is>
          <t>Dotierung Rückstellung f. nicht konsumierten Urlaub Arbeiter</t>
        </is>
      </c>
      <c r="C213" s="16" t="inlineStr">
        <is>
          <t>Gewinn und Verlust</t>
        </is>
      </c>
      <c r="D213" s="17" t="n">
        <v>0</v>
      </c>
      <c r="E213" s="17" t="n">
        <v>12548.97</v>
      </c>
      <c r="F213" s="17" t="n">
        <v>0</v>
      </c>
      <c r="G213" s="17">
        <f>D213+E213-F213</f>
        <v/>
      </c>
    </row>
    <row r="214" ht="15" customHeight="1" s="11">
      <c r="A214" s="16" t="inlineStr">
        <is>
          <t>646500</t>
        </is>
      </c>
      <c r="B214" s="16" t="inlineStr">
        <is>
          <t>Veränderung Zeitkonto Arbeiter</t>
        </is>
      </c>
      <c r="C214" s="16" t="inlineStr">
        <is>
          <t>Gewinn und Verlust</t>
        </is>
      </c>
      <c r="D214" s="17" t="n">
        <v>0</v>
      </c>
      <c r="E214" s="17" t="n">
        <v>12672.91</v>
      </c>
      <c r="F214" s="17" t="n">
        <v>0</v>
      </c>
      <c r="G214" s="17">
        <f>D214+E214-F214</f>
        <v/>
      </c>
    </row>
    <row r="215" ht="15" customHeight="1" s="11">
      <c r="A215" s="16" t="inlineStr">
        <is>
          <t>647000</t>
        </is>
      </c>
      <c r="B215" s="16" t="inlineStr">
        <is>
          <t>Dotierung Rückstellung f. nicht konsumierten Urlaub Angestel</t>
        </is>
      </c>
      <c r="C215" s="16" t="inlineStr">
        <is>
          <t>Gewinn und Verlust</t>
        </is>
      </c>
      <c r="D215" s="17" t="n">
        <v>0</v>
      </c>
      <c r="E215" s="17" t="n">
        <v>7231.79</v>
      </c>
      <c r="F215" s="17" t="n">
        <v>0</v>
      </c>
      <c r="G215" s="17">
        <f>D215+E215-F215</f>
        <v/>
      </c>
    </row>
    <row r="216" ht="15" customHeight="1" s="11">
      <c r="A216" s="16" t="inlineStr">
        <is>
          <t>647500</t>
        </is>
      </c>
      <c r="B216" s="16" t="inlineStr">
        <is>
          <t>Veränderung Zeitkonto Angestellte</t>
        </is>
      </c>
      <c r="C216" s="16" t="inlineStr">
        <is>
          <t>Gewinn und Verlust</t>
        </is>
      </c>
      <c r="D216" s="17" t="n">
        <v>0</v>
      </c>
      <c r="E216" s="17" t="n">
        <v>12822.89</v>
      </c>
      <c r="F216" s="17" t="n">
        <v>0</v>
      </c>
      <c r="G216" s="17">
        <f>D216+E216-F216</f>
        <v/>
      </c>
    </row>
    <row r="217" ht="15" customHeight="1" s="11">
      <c r="A217" s="16" t="inlineStr">
        <is>
          <t>648000</t>
        </is>
      </c>
      <c r="B217" s="16" t="inlineStr">
        <is>
          <t>Aufstockungsbetrag Altersteilzeit</t>
        </is>
      </c>
      <c r="C217" s="16" t="inlineStr">
        <is>
          <t>Gewinn und Verlust</t>
        </is>
      </c>
      <c r="D217" s="17" t="n">
        <v>0</v>
      </c>
      <c r="E217" s="17" t="n">
        <v>7563.21</v>
      </c>
      <c r="F217" s="17" t="n">
        <v>562.26</v>
      </c>
      <c r="G217" s="17">
        <f>D217+E217-F217</f>
        <v/>
      </c>
    </row>
    <row r="218" ht="15" customHeight="1" s="11">
      <c r="A218" s="16" t="inlineStr">
        <is>
          <t>650000</t>
        </is>
      </c>
      <c r="B218" s="16" t="inlineStr">
        <is>
          <t>Gesetzlicher Sozialaufwand Arbeiter</t>
        </is>
      </c>
      <c r="C218" s="16" t="inlineStr">
        <is>
          <t>Gewinn und Verlust</t>
        </is>
      </c>
      <c r="D218" s="17" t="n">
        <v>0</v>
      </c>
      <c r="E218" s="17" t="n">
        <v>619092.16</v>
      </c>
      <c r="F218" s="17" t="n">
        <v>223261.94</v>
      </c>
      <c r="G218" s="17">
        <f>D218+E218-F218</f>
        <v/>
      </c>
    </row>
    <row r="219" ht="15" customHeight="1" s="11">
      <c r="A219" s="16" t="inlineStr">
        <is>
          <t>656000</t>
        </is>
      </c>
      <c r="B219" s="16" t="inlineStr">
        <is>
          <t>Gesetzlicher Sozialaufwand Angestellte</t>
        </is>
      </c>
      <c r="C219" s="16" t="inlineStr">
        <is>
          <t>Gewinn und Verlust</t>
        </is>
      </c>
      <c r="D219" s="17" t="n">
        <v>0</v>
      </c>
      <c r="E219" s="17" t="n">
        <v>948503.03</v>
      </c>
      <c r="F219" s="17" t="n">
        <v>441250.47</v>
      </c>
      <c r="G219" s="17">
        <f>D219+E219-F219</f>
        <v/>
      </c>
    </row>
    <row r="220" ht="15" customHeight="1" s="11">
      <c r="A220" s="16" t="inlineStr">
        <is>
          <t>657000</t>
        </is>
      </c>
      <c r="B220" s="16" t="inlineStr">
        <is>
          <t>Beiträge Berufsgenossenschaft Arbeiter</t>
        </is>
      </c>
      <c r="C220" s="16" t="inlineStr">
        <is>
          <t>Gewinn und Verlust</t>
        </is>
      </c>
      <c r="D220" s="17" t="n">
        <v>0</v>
      </c>
      <c r="E220" s="17" t="n">
        <v>493382.61</v>
      </c>
      <c r="F220" s="17" t="n">
        <v>366097.09</v>
      </c>
      <c r="G220" s="17">
        <f>D220+E220-F220</f>
        <v/>
      </c>
    </row>
    <row r="221" ht="15" customHeight="1" s="11">
      <c r="A221" s="16" t="inlineStr">
        <is>
          <t>657500</t>
        </is>
      </c>
      <c r="B221" s="16" t="inlineStr">
        <is>
          <t>Beiträge Berufsgenossenschaft Angestellte</t>
        </is>
      </c>
      <c r="C221" s="16" t="inlineStr">
        <is>
          <t>Gewinn und Verlust</t>
        </is>
      </c>
      <c r="D221" s="17" t="n">
        <v>0</v>
      </c>
      <c r="E221" s="17" t="n">
        <v>350863.09</v>
      </c>
      <c r="F221" s="17" t="n">
        <v>344182</v>
      </c>
      <c r="G221" s="17">
        <f>D221+E221-F221</f>
        <v/>
      </c>
    </row>
    <row r="222" ht="15" customHeight="1" s="11">
      <c r="A222" s="16" t="inlineStr">
        <is>
          <t>680000</t>
        </is>
      </c>
      <c r="B222" s="16" t="inlineStr">
        <is>
          <t>Inserate Personalsuche</t>
        </is>
      </c>
      <c r="C222" s="16" t="inlineStr">
        <is>
          <t>Gewinn und Verlust</t>
        </is>
      </c>
      <c r="D222" s="17" t="n">
        <v>0</v>
      </c>
      <c r="E222" s="17" t="n">
        <v>45234.42</v>
      </c>
      <c r="F222" s="17" t="n">
        <v>1287.55</v>
      </c>
      <c r="G222" s="17">
        <f>D222+E222-F222</f>
        <v/>
      </c>
    </row>
    <row r="223" ht="15" customHeight="1" s="11">
      <c r="A223" s="16" t="inlineStr">
        <is>
          <t>690000</t>
        </is>
      </c>
      <c r="B223" s="16" t="inlineStr">
        <is>
          <t>Freiwilliger Sozialaufwand</t>
        </is>
      </c>
      <c r="C223" s="16" t="inlineStr">
        <is>
          <t>Gewinn und Verlust</t>
        </is>
      </c>
      <c r="D223" s="17" t="n">
        <v>0</v>
      </c>
      <c r="E223" s="17" t="n">
        <v>121316.81</v>
      </c>
      <c r="F223" s="17" t="n">
        <v>53748.65</v>
      </c>
      <c r="G223" s="17">
        <f>D223+E223-F223</f>
        <v/>
      </c>
    </row>
    <row r="224" ht="15" customHeight="1" s="11">
      <c r="A224" s="16" t="inlineStr">
        <is>
          <t>695000</t>
        </is>
      </c>
      <c r="B224" s="16" t="inlineStr">
        <is>
          <t>AG- Zuschuss bAV</t>
        </is>
      </c>
      <c r="C224" s="16" t="inlineStr">
        <is>
          <t>Gewinn und Verlust</t>
        </is>
      </c>
      <c r="D224" s="17" t="n">
        <v>0</v>
      </c>
      <c r="E224" s="17" t="n">
        <v>33401.08</v>
      </c>
      <c r="F224" s="17" t="n">
        <v>2349.16</v>
      </c>
      <c r="G224" s="17">
        <f>D224+E224-F224</f>
        <v/>
      </c>
    </row>
    <row r="225" ht="15" customHeight="1" s="11">
      <c r="A225" s="16" t="inlineStr">
        <is>
          <t>699210</t>
        </is>
      </c>
      <c r="B225" s="16" t="inlineStr">
        <is>
          <t>sonstige Repräsentationskosten</t>
        </is>
      </c>
      <c r="C225" s="16" t="inlineStr">
        <is>
          <t>Gewinn und Verlust</t>
        </is>
      </c>
      <c r="D225" s="17" t="n">
        <v>0</v>
      </c>
      <c r="E225" s="17" t="n">
        <v>15297.55</v>
      </c>
      <c r="F225" s="17" t="n">
        <v>1104.34</v>
      </c>
      <c r="G225" s="17">
        <f>D225+E225-F225</f>
        <v/>
      </c>
    </row>
    <row r="226" ht="15" customHeight="1" s="11">
      <c r="A226" s="16" t="inlineStr">
        <is>
          <t>699900</t>
        </is>
      </c>
      <c r="B226" s="16" t="inlineStr">
        <is>
          <t>Sonstiger Personalaufwand (Arbeitnehmerschutz, Invalidenausg</t>
        </is>
      </c>
      <c r="C226" s="16" t="inlineStr">
        <is>
          <t>Gewinn und Verlust</t>
        </is>
      </c>
      <c r="D226" s="17" t="n">
        <v>0</v>
      </c>
      <c r="E226" s="17" t="n">
        <v>7943.32</v>
      </c>
      <c r="F226" s="17" t="n">
        <v>757.46</v>
      </c>
      <c r="G226" s="17">
        <f>D226+E226-F226</f>
        <v/>
      </c>
    </row>
    <row r="227" ht="15" customHeight="1" s="11">
      <c r="A227" s="16" t="inlineStr">
        <is>
          <t>700000</t>
        </is>
      </c>
      <c r="B227" s="16" t="inlineStr">
        <is>
          <t>Anlagenabschreibung materielle Wirtschaftsgüter</t>
        </is>
      </c>
      <c r="C227" s="16" t="inlineStr">
        <is>
          <t>Gewinn und Verlust</t>
        </is>
      </c>
      <c r="D227" s="17" t="n">
        <v>0</v>
      </c>
      <c r="E227" s="17" t="n">
        <v>2141887.42</v>
      </c>
      <c r="F227" s="17" t="n">
        <v>121052.37</v>
      </c>
      <c r="G227" s="17">
        <f>D227+E227-F227</f>
        <v/>
      </c>
    </row>
    <row r="228" ht="15" customHeight="1" s="11">
      <c r="A228" s="16" t="inlineStr">
        <is>
          <t>701000</t>
        </is>
      </c>
      <c r="B228" s="16" t="inlineStr">
        <is>
          <t>Anlagenabschreibung immaterielle Wirtschaftsgüter</t>
        </is>
      </c>
      <c r="C228" s="16" t="inlineStr">
        <is>
          <t>Gewinn und Verlust</t>
        </is>
      </c>
      <c r="D228" s="17" t="n">
        <v>0</v>
      </c>
      <c r="E228" s="17" t="n">
        <v>168004.85</v>
      </c>
      <c r="F228" s="17" t="n">
        <v>12923.45</v>
      </c>
      <c r="G228" s="17">
        <f>D228+E228-F228</f>
        <v/>
      </c>
    </row>
    <row r="229" ht="15" customHeight="1" s="11">
      <c r="A229" s="16" t="inlineStr">
        <is>
          <t>708000</t>
        </is>
      </c>
      <c r="B229" s="16" t="inlineStr">
        <is>
          <t>Geringwertige Wirtschaftgüter</t>
        </is>
      </c>
      <c r="C229" s="16" t="inlineStr">
        <is>
          <t>Gewinn und Verlust</t>
        </is>
      </c>
      <c r="D229" s="17" t="n">
        <v>0</v>
      </c>
      <c r="E229" s="17" t="n">
        <v>13026.36</v>
      </c>
      <c r="F229" s="17" t="n">
        <v>0</v>
      </c>
      <c r="G229" s="17">
        <f>D229+E229-F229</f>
        <v/>
      </c>
    </row>
    <row r="230" ht="15" customHeight="1" s="11">
      <c r="A230" s="16" t="inlineStr">
        <is>
          <t>711000</t>
        </is>
      </c>
      <c r="B230" s="16" t="inlineStr">
        <is>
          <t>Motorbezogene Steuer PKW</t>
        </is>
      </c>
      <c r="C230" s="16" t="inlineStr">
        <is>
          <t>Gewinn und Verlust</t>
        </is>
      </c>
      <c r="D230" s="17" t="n">
        <v>0</v>
      </c>
      <c r="E230" s="17" t="n">
        <v>2047</v>
      </c>
      <c r="F230" s="17" t="n">
        <v>377</v>
      </c>
      <c r="G230" s="17">
        <f>D230+E230-F230</f>
        <v/>
      </c>
    </row>
    <row r="231" ht="15" customHeight="1" s="11">
      <c r="A231" s="16" t="inlineStr">
        <is>
          <t>712000</t>
        </is>
      </c>
      <c r="B231" s="16" t="inlineStr">
        <is>
          <t>Grundsteuer</t>
        </is>
      </c>
      <c r="C231" s="16" t="inlineStr">
        <is>
          <t>Gewinn und Verlust</t>
        </is>
      </c>
      <c r="D231" s="17" t="n">
        <v>0</v>
      </c>
      <c r="E231" s="17" t="n">
        <v>16443.11</v>
      </c>
      <c r="F231" s="17" t="n">
        <v>0</v>
      </c>
      <c r="G231" s="17">
        <f>D231+E231-F231</f>
        <v/>
      </c>
    </row>
    <row r="232" ht="15" customHeight="1" s="11">
      <c r="A232" s="16" t="inlineStr">
        <is>
          <t>713000</t>
        </is>
      </c>
      <c r="B232" s="16" t="inlineStr">
        <is>
          <t>Stromsteuer</t>
        </is>
      </c>
      <c r="C232" s="16" t="inlineStr">
        <is>
          <t>Gewinn und Verlust</t>
        </is>
      </c>
      <c r="D232" s="17" t="n">
        <v>0</v>
      </c>
      <c r="E232" s="17" t="n">
        <v>1490112.52</v>
      </c>
      <c r="F232" s="17" t="n">
        <v>1278348.14</v>
      </c>
      <c r="G232" s="17">
        <f>D232+E232-F232</f>
        <v/>
      </c>
    </row>
    <row r="233" ht="15" customHeight="1" s="11">
      <c r="A233" s="16" t="inlineStr">
        <is>
          <t>716000</t>
        </is>
      </c>
      <c r="B233" s="16" t="inlineStr">
        <is>
          <t>Sonstige Gebühren und Abgaben</t>
        </is>
      </c>
      <c r="C233" s="16" t="inlineStr">
        <is>
          <t>Gewinn und Verlust</t>
        </is>
      </c>
      <c r="D233" s="17" t="n">
        <v>0</v>
      </c>
      <c r="E233" s="17" t="n">
        <v>15197.6</v>
      </c>
      <c r="F233" s="17" t="n">
        <v>3194.04</v>
      </c>
      <c r="G233" s="17">
        <f>D233+E233-F233</f>
        <v/>
      </c>
    </row>
    <row r="234" ht="15" customHeight="1" s="11">
      <c r="A234" s="16" t="inlineStr">
        <is>
          <t>720000</t>
        </is>
      </c>
      <c r="B234" s="16" t="inlineStr">
        <is>
          <t>Instandhaltung durch Dritte</t>
        </is>
      </c>
      <c r="C234" s="16" t="inlineStr">
        <is>
          <t>Gewinn und Verlust</t>
        </is>
      </c>
      <c r="D234" s="17" t="n">
        <v>0</v>
      </c>
      <c r="E234" s="17" t="n">
        <v>557774.62</v>
      </c>
      <c r="F234" s="17" t="n">
        <v>40624.55</v>
      </c>
      <c r="G234" s="17">
        <f>D234+E234-F234</f>
        <v/>
      </c>
    </row>
    <row r="235" ht="15" customHeight="1" s="11">
      <c r="A235" s="16" t="inlineStr">
        <is>
          <t>720500</t>
        </is>
      </c>
      <c r="B235" s="16" t="inlineStr">
        <is>
          <t>Reinigung (Reinigungsmittel+Fremdkosten f.Reinigungskräfte)</t>
        </is>
      </c>
      <c r="C235" s="16" t="inlineStr">
        <is>
          <t>Gewinn und Verlust</t>
        </is>
      </c>
      <c r="D235" s="17" t="n">
        <v>0</v>
      </c>
      <c r="E235" s="17" t="n">
        <v>14314.15</v>
      </c>
      <c r="F235" s="17" t="n">
        <v>0</v>
      </c>
      <c r="G235" s="17">
        <f>D235+E235-F235</f>
        <v/>
      </c>
    </row>
    <row r="236" ht="15" customHeight="1" s="11">
      <c r="A236" s="16" t="inlineStr">
        <is>
          <t>721000</t>
        </is>
      </c>
      <c r="B236" s="16" t="inlineStr">
        <is>
          <t>EDV</t>
        </is>
      </c>
      <c r="C236" s="16" t="inlineStr">
        <is>
          <t>Gewinn und Verlust</t>
        </is>
      </c>
      <c r="D236" s="17" t="n">
        <v>0</v>
      </c>
      <c r="E236" s="17" t="n">
        <v>75705.91</v>
      </c>
      <c r="F236" s="17" t="n">
        <v>17704</v>
      </c>
      <c r="G236" s="17">
        <f>D236+E236-F236</f>
        <v/>
      </c>
    </row>
    <row r="237" ht="15" customHeight="1" s="11">
      <c r="A237" s="16" t="inlineStr">
        <is>
          <t>722200</t>
        </is>
      </c>
      <c r="B237" s="16" t="inlineStr">
        <is>
          <t>Gaskosten</t>
        </is>
      </c>
      <c r="C237" s="16" t="inlineStr">
        <is>
          <t>Gewinn und Verlust</t>
        </is>
      </c>
      <c r="D237" s="17" t="n">
        <v>0</v>
      </c>
      <c r="E237" s="17" t="n">
        <v>7707.53</v>
      </c>
      <c r="F237" s="17" t="n">
        <v>0</v>
      </c>
      <c r="G237" s="17">
        <f>D237+E237-F237</f>
        <v/>
      </c>
    </row>
    <row r="238" ht="15" customHeight="1" s="11">
      <c r="A238" s="16" t="inlineStr">
        <is>
          <t>722300</t>
        </is>
      </c>
      <c r="B238" s="16" t="inlineStr">
        <is>
          <t>Wasserkosten</t>
        </is>
      </c>
      <c r="C238" s="16" t="inlineStr">
        <is>
          <t>Gewinn und Verlust</t>
        </is>
      </c>
      <c r="D238" s="17" t="n">
        <v>0</v>
      </c>
      <c r="E238" s="17" t="n">
        <v>2214.42</v>
      </c>
      <c r="F238" s="17" t="n">
        <v>0</v>
      </c>
      <c r="G238" s="17">
        <f>D238+E238-F238</f>
        <v/>
      </c>
    </row>
    <row r="239" ht="15" customHeight="1" s="11">
      <c r="A239" s="16" t="inlineStr">
        <is>
          <t>722600</t>
        </is>
      </c>
      <c r="B239" s="16" t="inlineStr">
        <is>
          <t>Kanalgebühren</t>
        </is>
      </c>
      <c r="C239" s="16" t="inlineStr">
        <is>
          <t>Gewinn und Verlust</t>
        </is>
      </c>
      <c r="D239" s="17" t="n">
        <v>0</v>
      </c>
      <c r="E239" s="17" t="n">
        <v>4196.67</v>
      </c>
      <c r="F239" s="17" t="n">
        <v>1274.46</v>
      </c>
      <c r="G239" s="17">
        <f>D239+E239-F239</f>
        <v/>
      </c>
    </row>
    <row r="240" ht="15" customHeight="1" s="11">
      <c r="A240" s="16" t="inlineStr">
        <is>
          <t>730000</t>
        </is>
      </c>
      <c r="B240" s="16" t="inlineStr">
        <is>
          <t>Ausgangsfrachten Speditionen</t>
        </is>
      </c>
      <c r="C240" s="16" t="inlineStr">
        <is>
          <t>Gewinn und Verlust</t>
        </is>
      </c>
      <c r="D240" s="17" t="n">
        <v>0</v>
      </c>
      <c r="E240" s="17" t="n">
        <v>6614484.04</v>
      </c>
      <c r="F240" s="17" t="n">
        <v>92313.53999999999</v>
      </c>
      <c r="G240" s="17">
        <f>D240+E240-F240</f>
        <v/>
      </c>
    </row>
    <row r="241" ht="15" customHeight="1" s="11">
      <c r="A241" s="16" t="inlineStr">
        <is>
          <t>731500</t>
        </is>
      </c>
      <c r="B241" s="16" t="inlineStr">
        <is>
          <t>Ausgangsfrachten Weiterverrechnung Schadensfälle</t>
        </is>
      </c>
      <c r="C241" s="16" t="inlineStr">
        <is>
          <t>Gewinn und Verlust</t>
        </is>
      </c>
      <c r="D241" s="17" t="n">
        <v>0</v>
      </c>
      <c r="E241" s="17" t="n">
        <v>14364.92</v>
      </c>
      <c r="F241" s="17" t="n">
        <v>73</v>
      </c>
      <c r="G241" s="17">
        <f>D241+E241-F241</f>
        <v/>
      </c>
    </row>
    <row r="242" ht="15" customHeight="1" s="11">
      <c r="A242" s="16" t="inlineStr">
        <is>
          <t>731900</t>
        </is>
      </c>
      <c r="B242" s="16" t="inlineStr">
        <is>
          <t>Ausgangsfrachten Weiterverrechnung Zollspesen</t>
        </is>
      </c>
      <c r="C242" s="16" t="inlineStr">
        <is>
          <t>Gewinn und Verlust</t>
        </is>
      </c>
      <c r="D242" s="17" t="n">
        <v>0</v>
      </c>
      <c r="E242" s="17" t="n">
        <v>580.05</v>
      </c>
      <c r="F242" s="17" t="n">
        <v>0</v>
      </c>
      <c r="G242" s="17">
        <f>D242+E242-F242</f>
        <v/>
      </c>
    </row>
    <row r="243" ht="15" customHeight="1" s="11">
      <c r="A243" s="16" t="inlineStr">
        <is>
          <t>733000</t>
        </is>
      </c>
      <c r="B243" s="16" t="inlineStr">
        <is>
          <t>Reisevergütungen (Parkscheine, Maut, Fahrscheine)</t>
        </is>
      </c>
      <c r="C243" s="16" t="inlineStr">
        <is>
          <t>Gewinn und Verlust</t>
        </is>
      </c>
      <c r="D243" s="17" t="n">
        <v>0</v>
      </c>
      <c r="E243" s="17" t="n">
        <v>17881.52</v>
      </c>
      <c r="F243" s="17" t="n">
        <v>74.09999999999999</v>
      </c>
      <c r="G243" s="17">
        <f>D243+E243-F243</f>
        <v/>
      </c>
    </row>
    <row r="244" ht="15" customHeight="1" s="11">
      <c r="A244" s="16" t="inlineStr">
        <is>
          <t>733500</t>
        </is>
      </c>
      <c r="B244" s="16" t="inlineStr">
        <is>
          <t>KM-Gelder</t>
        </is>
      </c>
      <c r="C244" s="16" t="inlineStr">
        <is>
          <t>Gewinn und Verlust</t>
        </is>
      </c>
      <c r="D244" s="17" t="n">
        <v>0</v>
      </c>
      <c r="E244" s="17" t="n">
        <v>2347.45</v>
      </c>
      <c r="F244" s="17" t="n">
        <v>1415.59</v>
      </c>
      <c r="G244" s="17">
        <f>D244+E244-F244</f>
        <v/>
      </c>
    </row>
    <row r="245" ht="15" customHeight="1" s="11">
      <c r="A245" s="16" t="inlineStr">
        <is>
          <t>736000</t>
        </is>
      </c>
      <c r="B245" s="16" t="inlineStr">
        <is>
          <t>Nächtigungen Inland</t>
        </is>
      </c>
      <c r="C245" s="16" t="inlineStr">
        <is>
          <t>Gewinn und Verlust</t>
        </is>
      </c>
      <c r="D245" s="17" t="n">
        <v>0</v>
      </c>
      <c r="E245" s="17" t="n">
        <v>53545.99</v>
      </c>
      <c r="F245" s="17" t="n">
        <v>764.29</v>
      </c>
      <c r="G245" s="17">
        <f>D245+E245-F245</f>
        <v/>
      </c>
    </row>
    <row r="246" ht="15" customHeight="1" s="11">
      <c r="A246" s="16" t="inlineStr">
        <is>
          <t>736100</t>
        </is>
      </c>
      <c r="B246" s="16" t="inlineStr">
        <is>
          <t>Nächtigungen Ausland</t>
        </is>
      </c>
      <c r="C246" s="16" t="inlineStr">
        <is>
          <t>Gewinn und Verlust</t>
        </is>
      </c>
      <c r="D246" s="17" t="n">
        <v>0</v>
      </c>
      <c r="E246" s="17" t="n">
        <v>3260.2</v>
      </c>
      <c r="F246" s="17" t="n">
        <v>36</v>
      </c>
      <c r="G246" s="17">
        <f>D246+E246-F246</f>
        <v/>
      </c>
    </row>
    <row r="247" ht="15" customHeight="1" s="11">
      <c r="A247" s="16" t="inlineStr">
        <is>
          <t>737000</t>
        </is>
      </c>
      <c r="B247" s="16" t="inlineStr">
        <is>
          <t>Diäten Inland NULL VSt. Lohnsteuerpflichtig</t>
        </is>
      </c>
      <c r="C247" s="16" t="inlineStr">
        <is>
          <t>Gewinn und Verlust</t>
        </is>
      </c>
      <c r="D247" s="17" t="n">
        <v>0</v>
      </c>
      <c r="E247" s="17" t="n">
        <v>2274</v>
      </c>
      <c r="F247" s="17" t="n">
        <v>56</v>
      </c>
      <c r="G247" s="17">
        <f>D247+E247-F247</f>
        <v/>
      </c>
    </row>
    <row r="248" ht="15" customHeight="1" s="11">
      <c r="A248" s="16" t="inlineStr">
        <is>
          <t>738000</t>
        </is>
      </c>
      <c r="B248" s="16" t="inlineStr">
        <is>
          <t>Porto, virtuelle Kommunikationsgebühren</t>
        </is>
      </c>
      <c r="C248" s="16" t="inlineStr">
        <is>
          <t>Gewinn und Verlust</t>
        </is>
      </c>
      <c r="D248" s="17" t="n">
        <v>0</v>
      </c>
      <c r="E248" s="17" t="n">
        <v>4876.59</v>
      </c>
      <c r="F248" s="17" t="n">
        <v>10.21</v>
      </c>
      <c r="G248" s="17">
        <f>D248+E248-F248</f>
        <v/>
      </c>
    </row>
    <row r="249" ht="15" customHeight="1" s="11">
      <c r="A249" s="16" t="inlineStr">
        <is>
          <t>739000</t>
        </is>
      </c>
      <c r="B249" s="16" t="inlineStr">
        <is>
          <t>Telefonkosten (Festnetz, Mobil, Internet)</t>
        </is>
      </c>
      <c r="C249" s="16" t="inlineStr">
        <is>
          <t>Gewinn und Verlust</t>
        </is>
      </c>
      <c r="D249" s="17" t="n">
        <v>0</v>
      </c>
      <c r="E249" s="17" t="n">
        <v>41142.17</v>
      </c>
      <c r="F249" s="17" t="n">
        <v>44.95</v>
      </c>
      <c r="G249" s="17">
        <f>D249+E249-F249</f>
        <v/>
      </c>
    </row>
    <row r="250" ht="15" customHeight="1" s="11">
      <c r="A250" s="16" t="inlineStr">
        <is>
          <t>740000</t>
        </is>
      </c>
      <c r="B250" s="16" t="inlineStr">
        <is>
          <t>Mieten sonstige</t>
        </is>
      </c>
      <c r="C250" s="16" t="inlineStr">
        <is>
          <t>Gewinn und Verlust</t>
        </is>
      </c>
      <c r="D250" s="17" t="n">
        <v>0</v>
      </c>
      <c r="E250" s="17" t="n">
        <v>86372.3</v>
      </c>
      <c r="F250" s="17" t="n">
        <v>901.26</v>
      </c>
      <c r="G250" s="17">
        <f>D250+E250-F250</f>
        <v/>
      </c>
    </row>
    <row r="251" ht="15" customHeight="1" s="11">
      <c r="A251" s="16" t="inlineStr">
        <is>
          <t>744200</t>
        </is>
      </c>
      <c r="B251" s="16" t="inlineStr">
        <is>
          <t>Leasing LKW und Arbeitsmaschinen</t>
        </is>
      </c>
      <c r="C251" s="16" t="inlineStr">
        <is>
          <t>Gewinn und Verlust</t>
        </is>
      </c>
      <c r="D251" s="17" t="n">
        <v>0</v>
      </c>
      <c r="E251" s="17" t="n">
        <v>220819</v>
      </c>
      <c r="F251" s="17" t="n">
        <v>31000</v>
      </c>
      <c r="G251" s="17">
        <f>D251+E251-F251</f>
        <v/>
      </c>
    </row>
    <row r="252" ht="15" customHeight="1" s="11">
      <c r="A252" s="16" t="inlineStr">
        <is>
          <t>744300</t>
        </is>
      </c>
      <c r="B252" s="16" t="inlineStr">
        <is>
          <t>Leasing PKW</t>
        </is>
      </c>
      <c r="C252" s="16" t="inlineStr">
        <is>
          <t>Gewinn und Verlust</t>
        </is>
      </c>
      <c r="D252" s="17" t="n">
        <v>0</v>
      </c>
      <c r="E252" s="17" t="n">
        <v>51776.35</v>
      </c>
      <c r="F252" s="17" t="n">
        <v>5345.12</v>
      </c>
      <c r="G252" s="17">
        <f>D252+E252-F252</f>
        <v/>
      </c>
    </row>
    <row r="253" ht="15" customHeight="1" s="11">
      <c r="A253" s="16" t="inlineStr">
        <is>
          <t>748000</t>
        </is>
      </c>
      <c r="B253" s="16" t="inlineStr">
        <is>
          <t>MS-Lizenzgebühren</t>
        </is>
      </c>
      <c r="C253" s="16" t="inlineStr">
        <is>
          <t>Gewinn und Verlust</t>
        </is>
      </c>
      <c r="D253" s="17" t="n">
        <v>0</v>
      </c>
      <c r="E253" s="17" t="n">
        <v>21143.27</v>
      </c>
      <c r="F253" s="17" t="n">
        <v>0</v>
      </c>
      <c r="G253" s="17">
        <f>D253+E253-F253</f>
        <v/>
      </c>
    </row>
    <row r="254" ht="15" customHeight="1" s="11">
      <c r="A254" s="16" t="inlineStr">
        <is>
          <t>750000</t>
        </is>
      </c>
      <c r="B254" s="16" t="inlineStr">
        <is>
          <t>Fremdarbeit (Aushilfen)</t>
        </is>
      </c>
      <c r="C254" s="16" t="inlineStr">
        <is>
          <t>Gewinn und Verlust</t>
        </is>
      </c>
      <c r="D254" s="17" t="n">
        <v>0</v>
      </c>
      <c r="E254" s="17" t="n">
        <v>249994.15</v>
      </c>
      <c r="F254" s="17" t="n">
        <v>4401</v>
      </c>
      <c r="G254" s="17">
        <f>D254+E254-F254</f>
        <v/>
      </c>
    </row>
    <row r="255" ht="15" customHeight="1" s="11">
      <c r="A255" s="16" t="inlineStr">
        <is>
          <t>754000</t>
        </is>
      </c>
      <c r="B255" s="16" t="inlineStr">
        <is>
          <t>Provisionen und Honorare Ausland</t>
        </is>
      </c>
      <c r="C255" s="16" t="inlineStr">
        <is>
          <t>Gewinn und Verlust</t>
        </is>
      </c>
      <c r="D255" s="17" t="n">
        <v>0</v>
      </c>
      <c r="E255" s="17" t="n">
        <v>219439.45</v>
      </c>
      <c r="F255" s="17" t="n">
        <v>0</v>
      </c>
      <c r="G255" s="17">
        <f>D255+E255-F255</f>
        <v/>
      </c>
    </row>
    <row r="256" ht="15" customHeight="1" s="11">
      <c r="A256" s="16" t="inlineStr">
        <is>
          <t>760000</t>
        </is>
      </c>
      <c r="B256" s="16" t="inlineStr">
        <is>
          <t>Büromaterial (inkl.Rechnungsformulare,Lieferscheine,Briefpap</t>
        </is>
      </c>
      <c r="C256" s="16" t="inlineStr">
        <is>
          <t>Gewinn und Verlust</t>
        </is>
      </c>
      <c r="D256" s="17" t="n">
        <v>0</v>
      </c>
      <c r="E256" s="17" t="n">
        <v>6049.14</v>
      </c>
      <c r="F256" s="17" t="n">
        <v>0</v>
      </c>
      <c r="G256" s="17">
        <f>D256+E256-F256</f>
        <v/>
      </c>
    </row>
    <row r="257" ht="15" customHeight="1" s="11">
      <c r="A257" s="16" t="inlineStr">
        <is>
          <t>762000</t>
        </is>
      </c>
      <c r="B257" s="16" t="inlineStr">
        <is>
          <t>Zeitungen und Fachliteratur</t>
        </is>
      </c>
      <c r="C257" s="16" t="inlineStr">
        <is>
          <t>Gewinn und Verlust</t>
        </is>
      </c>
      <c r="D257" s="17" t="n">
        <v>0</v>
      </c>
      <c r="E257" s="17" t="n">
        <v>1505.21</v>
      </c>
      <c r="F257" s="17" t="n">
        <v>0</v>
      </c>
      <c r="G257" s="17">
        <f>D257+E257-F257</f>
        <v/>
      </c>
    </row>
    <row r="258" ht="15" customHeight="1" s="11">
      <c r="A258" s="16" t="inlineStr">
        <is>
          <t>765000</t>
        </is>
      </c>
      <c r="B258" s="16" t="inlineStr">
        <is>
          <t>Werbung</t>
        </is>
      </c>
      <c r="C258" s="16" t="inlineStr">
        <is>
          <t>Gewinn und Verlust</t>
        </is>
      </c>
      <c r="D258" s="17" t="n">
        <v>0</v>
      </c>
      <c r="E258" s="17" t="n">
        <v>1025406.45</v>
      </c>
      <c r="F258" s="17" t="n">
        <v>358926.18</v>
      </c>
      <c r="G258" s="17">
        <f>D258+E258-F258</f>
        <v/>
      </c>
    </row>
    <row r="259" ht="15" customHeight="1" s="11">
      <c r="A259" s="16" t="inlineStr">
        <is>
          <t>765020</t>
        </is>
      </c>
      <c r="B259" s="16" t="inlineStr">
        <is>
          <t>Werbegeschenke bis 35 Euro</t>
        </is>
      </c>
      <c r="C259" s="16" t="inlineStr">
        <is>
          <t>Gewinn und Verlust</t>
        </is>
      </c>
      <c r="D259" s="17" t="n">
        <v>0</v>
      </c>
      <c r="E259" s="17" t="n">
        <v>71952.21000000001</v>
      </c>
      <c r="F259" s="17" t="n">
        <v>0</v>
      </c>
      <c r="G259" s="17">
        <f>D259+E259-F259</f>
        <v/>
      </c>
    </row>
    <row r="260" ht="15" customHeight="1" s="11">
      <c r="A260" s="16" t="inlineStr">
        <is>
          <t>765021</t>
        </is>
      </c>
      <c r="B260" s="16" t="inlineStr">
        <is>
          <t>Werbegeschenke ab 35 Euro</t>
        </is>
      </c>
      <c r="C260" s="16" t="inlineStr">
        <is>
          <t>Gewinn und Verlust</t>
        </is>
      </c>
      <c r="D260" s="17" t="n">
        <v>0</v>
      </c>
      <c r="E260" s="17" t="n">
        <v>19920.48</v>
      </c>
      <c r="F260" s="17" t="n">
        <v>0</v>
      </c>
      <c r="G260" s="17">
        <f>D260+E260-F260</f>
        <v/>
      </c>
    </row>
    <row r="261" ht="15" customHeight="1" s="11">
      <c r="A261" s="16" t="inlineStr">
        <is>
          <t>765129</t>
        </is>
      </c>
      <c r="B261" s="16" t="inlineStr">
        <is>
          <t>Werbung Eventmarketing nicht abzugsfähig</t>
        </is>
      </c>
      <c r="C261" s="16" t="inlineStr">
        <is>
          <t>Gewinn und Verlust</t>
        </is>
      </c>
      <c r="D261" s="17" t="n">
        <v>0</v>
      </c>
      <c r="E261" s="17" t="n">
        <v>14552.02</v>
      </c>
      <c r="F261" s="17" t="n">
        <v>0</v>
      </c>
      <c r="G261" s="17">
        <f>D261+E261-F261</f>
        <v/>
      </c>
    </row>
    <row r="262" ht="15" customHeight="1" s="11">
      <c r="A262" s="16" t="inlineStr">
        <is>
          <t>765300</t>
        </is>
      </c>
      <c r="B262" s="16" t="inlineStr">
        <is>
          <t>Geschäftsessen 70 % abzugsfähig</t>
        </is>
      </c>
      <c r="C262" s="16" t="inlineStr">
        <is>
          <t>Gewinn und Verlust</t>
        </is>
      </c>
      <c r="D262" s="17" t="n">
        <v>0</v>
      </c>
      <c r="E262" s="17" t="n">
        <v>28268.91</v>
      </c>
      <c r="F262" s="17" t="n">
        <v>0</v>
      </c>
      <c r="G262" s="17">
        <f>D262+E262-F262</f>
        <v/>
      </c>
    </row>
    <row r="263" ht="15" customHeight="1" s="11">
      <c r="A263" s="16" t="inlineStr">
        <is>
          <t>765310</t>
        </is>
      </c>
      <c r="B263" s="16" t="inlineStr">
        <is>
          <t>Geschäftsessen 30 % nicht abzugsfähig</t>
        </is>
      </c>
      <c r="C263" s="16" t="inlineStr">
        <is>
          <t>Gewinn und Verlust</t>
        </is>
      </c>
      <c r="D263" s="17" t="n">
        <v>0</v>
      </c>
      <c r="E263" s="17" t="n">
        <v>12079.72</v>
      </c>
      <c r="F263" s="17" t="n">
        <v>0</v>
      </c>
      <c r="G263" s="17">
        <f>D263+E263-F263</f>
        <v/>
      </c>
    </row>
    <row r="264" ht="15" customHeight="1" s="11">
      <c r="A264" s="16" t="inlineStr">
        <is>
          <t>769000</t>
        </is>
      </c>
      <c r="B264" s="16" t="inlineStr">
        <is>
          <t>Spenden</t>
        </is>
      </c>
      <c r="C264" s="16" t="inlineStr">
        <is>
          <t>Gewinn und Verlust</t>
        </is>
      </c>
      <c r="D264" s="17" t="n">
        <v>0</v>
      </c>
      <c r="E264" s="17" t="n">
        <v>12750</v>
      </c>
      <c r="F264" s="17" t="n">
        <v>0</v>
      </c>
      <c r="G264" s="17">
        <f>D264+E264-F264</f>
        <v/>
      </c>
    </row>
    <row r="265" ht="15" customHeight="1" s="11">
      <c r="A265" s="16" t="inlineStr">
        <is>
          <t>770000</t>
        </is>
      </c>
      <c r="B265" s="16" t="inlineStr">
        <is>
          <t>Versicherungen Betrieb (Feuer, Betriebsunterbrechung...)</t>
        </is>
      </c>
      <c r="C265" s="16" t="inlineStr">
        <is>
          <t>Gewinn und Verlust</t>
        </is>
      </c>
      <c r="D265" s="17" t="n">
        <v>0</v>
      </c>
      <c r="E265" s="17" t="n">
        <v>1031809.85</v>
      </c>
      <c r="F265" s="17" t="n">
        <v>919248.7</v>
      </c>
      <c r="G265" s="17">
        <f>D265+E265-F265</f>
        <v/>
      </c>
    </row>
    <row r="266" ht="15" customHeight="1" s="11">
      <c r="A266" s="16" t="inlineStr">
        <is>
          <t>770100</t>
        </is>
      </c>
      <c r="B266" s="16" t="inlineStr">
        <is>
          <t>Betriebshaftpflichtversicherung</t>
        </is>
      </c>
      <c r="C266" s="16" t="inlineStr">
        <is>
          <t>Gewinn und Verlust</t>
        </is>
      </c>
      <c r="D266" s="17" t="n">
        <v>0</v>
      </c>
      <c r="E266" s="17" t="n">
        <v>426541.66</v>
      </c>
      <c r="F266" s="17" t="n">
        <v>397670.45</v>
      </c>
      <c r="G266" s="17">
        <f>D266+E266-F266</f>
        <v/>
      </c>
    </row>
    <row r="267" ht="15" customHeight="1" s="11">
      <c r="A267" s="16" t="inlineStr">
        <is>
          <t>770400</t>
        </is>
      </c>
      <c r="B267" s="16" t="inlineStr">
        <is>
          <t>Zahlungsausfallversicherung</t>
        </is>
      </c>
      <c r="C267" s="16" t="inlineStr">
        <is>
          <t>Gewinn und Verlust</t>
        </is>
      </c>
      <c r="D267" s="17" t="n">
        <v>0</v>
      </c>
      <c r="E267" s="17" t="n">
        <v>12684.02</v>
      </c>
      <c r="F267" s="17" t="n">
        <v>3920.32</v>
      </c>
      <c r="G267" s="17">
        <f>D267+E267-F267</f>
        <v/>
      </c>
    </row>
    <row r="268" ht="15" customHeight="1" s="11">
      <c r="A268" s="16" t="inlineStr">
        <is>
          <t>770500</t>
        </is>
      </c>
      <c r="B268" s="16" t="inlineStr">
        <is>
          <t>Sonstige Versicherungen</t>
        </is>
      </c>
      <c r="C268" s="16" t="inlineStr">
        <is>
          <t>Gewinn und Verlust</t>
        </is>
      </c>
      <c r="D268" s="17" t="n">
        <v>0</v>
      </c>
      <c r="E268" s="17" t="n">
        <v>10874.34</v>
      </c>
      <c r="F268" s="17" t="n">
        <v>0</v>
      </c>
      <c r="G268" s="17">
        <f>D268+E268-F268</f>
        <v/>
      </c>
    </row>
    <row r="269" ht="15" customHeight="1" s="11">
      <c r="A269" s="16" t="inlineStr">
        <is>
          <t>770900</t>
        </is>
      </c>
      <c r="B269" s="16" t="inlineStr">
        <is>
          <t>Versicherungen PKW (Haftpflicht+Kasko)</t>
        </is>
      </c>
      <c r="C269" s="16" t="inlineStr">
        <is>
          <t>Gewinn und Verlust</t>
        </is>
      </c>
      <c r="D269" s="17" t="n">
        <v>0</v>
      </c>
      <c r="E269" s="17" t="n">
        <v>10405.62</v>
      </c>
      <c r="F269" s="17" t="n">
        <v>587.22</v>
      </c>
      <c r="G269" s="17">
        <f>D269+E269-F269</f>
        <v/>
      </c>
    </row>
    <row r="270" ht="15" customHeight="1" s="11">
      <c r="A270" s="16" t="inlineStr">
        <is>
          <t>771020</t>
        </is>
      </c>
      <c r="B270" s="16" t="inlineStr">
        <is>
          <t>Treibstoff PKW</t>
        </is>
      </c>
      <c r="C270" s="16" t="inlineStr">
        <is>
          <t>Gewinn und Verlust</t>
        </is>
      </c>
      <c r="D270" s="17" t="n">
        <v>0</v>
      </c>
      <c r="E270" s="17" t="n">
        <v>39045.86</v>
      </c>
      <c r="F270" s="17" t="n">
        <v>0</v>
      </c>
      <c r="G270" s="17">
        <f>D270+E270-F270</f>
        <v/>
      </c>
    </row>
    <row r="271" ht="15" customHeight="1" s="11">
      <c r="A271" s="16" t="inlineStr">
        <is>
          <t>771030</t>
        </is>
      </c>
      <c r="B271" s="16" t="inlineStr">
        <is>
          <t>Treibstoff Arbeitsmaschinen</t>
        </is>
      </c>
      <c r="C271" s="16" t="inlineStr">
        <is>
          <t>Gewinn und Verlust</t>
        </is>
      </c>
      <c r="D271" s="17" t="n">
        <v>0</v>
      </c>
      <c r="E271" s="17" t="n">
        <v>58012.54</v>
      </c>
      <c r="F271" s="17" t="n">
        <v>196.01</v>
      </c>
      <c r="G271" s="17">
        <f>D271+E271-F271</f>
        <v/>
      </c>
    </row>
    <row r="272" ht="15" customHeight="1" s="11">
      <c r="A272" s="16" t="inlineStr">
        <is>
          <t>772000</t>
        </is>
      </c>
      <c r="B272" s="16" t="inlineStr">
        <is>
          <t>Instandhaltung Stapler</t>
        </is>
      </c>
      <c r="C272" s="16" t="inlineStr">
        <is>
          <t>Gewinn und Verlust</t>
        </is>
      </c>
      <c r="D272" s="17" t="n">
        <v>0</v>
      </c>
      <c r="E272" s="17" t="n">
        <v>95.94</v>
      </c>
      <c r="F272" s="17" t="n">
        <v>0</v>
      </c>
      <c r="G272" s="17">
        <f>D272+E272-F272</f>
        <v/>
      </c>
    </row>
    <row r="273" ht="15" customHeight="1" s="11">
      <c r="A273" s="16" t="inlineStr">
        <is>
          <t>773100</t>
        </is>
      </c>
      <c r="B273" s="16" t="inlineStr">
        <is>
          <t>Instandhaltung Arbeitsmaschinen</t>
        </is>
      </c>
      <c r="C273" s="16" t="inlineStr">
        <is>
          <t>Gewinn und Verlust</t>
        </is>
      </c>
      <c r="D273" s="17" t="n">
        <v>0</v>
      </c>
      <c r="E273" s="17" t="n">
        <v>33645.36</v>
      </c>
      <c r="F273" s="17" t="n">
        <v>2168.94</v>
      </c>
      <c r="G273" s="17">
        <f>D273+E273-F273</f>
        <v/>
      </c>
    </row>
    <row r="274" ht="15" customHeight="1" s="11">
      <c r="A274" s="16" t="inlineStr">
        <is>
          <t>774000</t>
        </is>
      </c>
      <c r="B274" s="16" t="inlineStr">
        <is>
          <t>Instandhaltung PKW</t>
        </is>
      </c>
      <c r="C274" s="16" t="inlineStr">
        <is>
          <t>Gewinn und Verlust</t>
        </is>
      </c>
      <c r="D274" s="17" t="n">
        <v>0</v>
      </c>
      <c r="E274" s="17" t="n">
        <v>36543.89</v>
      </c>
      <c r="F274" s="17" t="n">
        <v>1295.5</v>
      </c>
      <c r="G274" s="17">
        <f>D274+E274-F274</f>
        <v/>
      </c>
    </row>
    <row r="275" ht="15" customHeight="1" s="11">
      <c r="A275" s="16" t="inlineStr">
        <is>
          <t>775000</t>
        </is>
      </c>
      <c r="B275" s="16" t="inlineStr">
        <is>
          <t>Steuerberatungs- und Wirtschaftsprüfungskosten</t>
        </is>
      </c>
      <c r="C275" s="16" t="inlineStr">
        <is>
          <t>Gewinn und Verlust</t>
        </is>
      </c>
      <c r="D275" s="17" t="n">
        <v>0</v>
      </c>
      <c r="E275" s="17" t="n">
        <v>686191.8</v>
      </c>
      <c r="F275" s="17" t="n">
        <v>620792</v>
      </c>
      <c r="G275" s="17">
        <f>D275+E275-F275</f>
        <v/>
      </c>
    </row>
    <row r="276" ht="15" customHeight="1" s="11">
      <c r="A276" s="16" t="inlineStr">
        <is>
          <t>775200</t>
        </is>
      </c>
      <c r="B276" s="16" t="inlineStr">
        <is>
          <t>Rechts-Auskunfts- und Beratungskosten (Rechtsanwälte,KSV,Mar</t>
        </is>
      </c>
      <c r="C276" s="16" t="inlineStr">
        <is>
          <t>Gewinn und Verlust</t>
        </is>
      </c>
      <c r="D276" s="17" t="n">
        <v>0</v>
      </c>
      <c r="E276" s="17" t="n">
        <v>54844.4</v>
      </c>
      <c r="F276" s="17" t="n">
        <v>0</v>
      </c>
      <c r="G276" s="17">
        <f>D276+E276-F276</f>
        <v/>
      </c>
    </row>
    <row r="277" ht="15" customHeight="1" s="11">
      <c r="A277" s="16" t="inlineStr">
        <is>
          <t>775400</t>
        </is>
      </c>
      <c r="B277" s="16" t="inlineStr">
        <is>
          <t>Dienstleistungen Konzern ( inkl.Konzernumlage)</t>
        </is>
      </c>
      <c r="C277" s="16" t="inlineStr">
        <is>
          <t>Gewinn und Verlust</t>
        </is>
      </c>
      <c r="D277" s="17" t="n">
        <v>0</v>
      </c>
      <c r="E277" s="17" t="n">
        <v>2108981.73</v>
      </c>
      <c r="F277" s="17" t="n">
        <v>1059158.13</v>
      </c>
      <c r="G277" s="17">
        <f>D277+E277-F277</f>
        <v/>
      </c>
    </row>
    <row r="278" ht="15" customHeight="1" s="11">
      <c r="A278" s="16" t="inlineStr">
        <is>
          <t>776000</t>
        </is>
      </c>
      <c r="B278" s="16" t="inlineStr">
        <is>
          <t>Technische Prüfungs- u. Beratungskosten(Gebäude,BGA,Masch...</t>
        </is>
      </c>
      <c r="C278" s="16" t="inlineStr">
        <is>
          <t>Gewinn und Verlust</t>
        </is>
      </c>
      <c r="D278" s="17" t="n">
        <v>0</v>
      </c>
      <c r="E278" s="17" t="n">
        <v>333459</v>
      </c>
      <c r="F278" s="17" t="n">
        <v>0</v>
      </c>
      <c r="G278" s="17">
        <f>D278+E278-F278</f>
        <v/>
      </c>
    </row>
    <row r="279" ht="15" customHeight="1" s="11">
      <c r="A279" s="16" t="inlineStr">
        <is>
          <t>777000</t>
        </is>
      </c>
      <c r="B279" s="16" t="inlineStr">
        <is>
          <t>Schulungskosten Personal extern</t>
        </is>
      </c>
      <c r="C279" s="16" t="inlineStr">
        <is>
          <t>Gewinn und Verlust</t>
        </is>
      </c>
      <c r="D279" s="17" t="n">
        <v>0</v>
      </c>
      <c r="E279" s="17" t="n">
        <v>40827.19</v>
      </c>
      <c r="F279" s="17" t="n">
        <v>202</v>
      </c>
      <c r="G279" s="17">
        <f>D279+E279-F279</f>
        <v/>
      </c>
    </row>
    <row r="280" ht="15" customHeight="1" s="11">
      <c r="A280" s="16" t="inlineStr">
        <is>
          <t>777800</t>
        </is>
      </c>
      <c r="B280" s="16" t="inlineStr">
        <is>
          <t>Sonstige Kosten Konzern (interne Besprechungen)</t>
        </is>
      </c>
      <c r="C280" s="16" t="inlineStr">
        <is>
          <t>Gewinn und Verlust</t>
        </is>
      </c>
      <c r="D280" s="17" t="n">
        <v>0</v>
      </c>
      <c r="E280" s="17" t="n">
        <v>176334.46</v>
      </c>
      <c r="F280" s="17" t="n">
        <v>95400</v>
      </c>
      <c r="G280" s="17">
        <f>D280+E280-F280</f>
        <v/>
      </c>
    </row>
    <row r="281" ht="15" customHeight="1" s="11">
      <c r="A281" s="16" t="inlineStr">
        <is>
          <t>778000</t>
        </is>
      </c>
      <c r="B281" s="16" t="inlineStr">
        <is>
          <t>Mitgliedsbeiträge Sonstige</t>
        </is>
      </c>
      <c r="C281" s="16" t="inlineStr">
        <is>
          <t>Gewinn und Verlust</t>
        </is>
      </c>
      <c r="D281" s="17" t="n">
        <v>0</v>
      </c>
      <c r="E281" s="17" t="n">
        <v>545815.83</v>
      </c>
      <c r="F281" s="17" t="n">
        <v>448356.24</v>
      </c>
      <c r="G281" s="17">
        <f>D281+E281-F281</f>
        <v/>
      </c>
    </row>
    <row r="282" ht="15" customHeight="1" s="11">
      <c r="A282" s="16" t="inlineStr">
        <is>
          <t>779000</t>
        </is>
      </c>
      <c r="B282" s="16" t="inlineStr">
        <is>
          <t>Bank- und Wechselspesen</t>
        </is>
      </c>
      <c r="C282" s="16" t="inlineStr">
        <is>
          <t>Gewinn und Verlust</t>
        </is>
      </c>
      <c r="D282" s="17" t="n">
        <v>0</v>
      </c>
      <c r="E282" s="17" t="n">
        <v>8331.620000000001</v>
      </c>
      <c r="F282" s="17" t="n">
        <v>29</v>
      </c>
      <c r="G282" s="17">
        <f>D282+E282-F282</f>
        <v/>
      </c>
    </row>
    <row r="283" ht="15" customHeight="1" s="11">
      <c r="A283" s="16" t="inlineStr">
        <is>
          <t>786100</t>
        </is>
      </c>
      <c r="B283" s="16" t="inlineStr">
        <is>
          <t>Schadensfälle (Frachten, Stehzeite)</t>
        </is>
      </c>
      <c r="C283" s="16" t="inlineStr">
        <is>
          <t>Gewinn und Verlust</t>
        </is>
      </c>
      <c r="D283" s="17" t="n">
        <v>0</v>
      </c>
      <c r="E283" s="17" t="n">
        <v>21131.24</v>
      </c>
      <c r="F283" s="17" t="n">
        <v>635</v>
      </c>
      <c r="G283" s="17">
        <f>D283+E283-F283</f>
        <v/>
      </c>
    </row>
    <row r="284" ht="15" customHeight="1" s="11">
      <c r="A284" s="16" t="inlineStr">
        <is>
          <t>790000</t>
        </is>
      </c>
      <c r="B284" s="16" t="inlineStr">
        <is>
          <t>Aufwendungen für Forschung und Entwicklung (Leistungen Dritt</t>
        </is>
      </c>
      <c r="C284" s="16" t="inlineStr">
        <is>
          <t>Gewinn und Verlust</t>
        </is>
      </c>
      <c r="D284" s="17" t="n">
        <v>0</v>
      </c>
      <c r="E284" s="17" t="n">
        <v>2701.5</v>
      </c>
      <c r="F284" s="17" t="n">
        <v>3125.54</v>
      </c>
      <c r="G284" s="17">
        <f>D284+E284-F284</f>
        <v/>
      </c>
    </row>
    <row r="285" ht="15" customHeight="1" s="11">
      <c r="A285" s="16" t="inlineStr">
        <is>
          <t>795000</t>
        </is>
      </c>
      <c r="B285" s="16" t="inlineStr">
        <is>
          <t>Diverser Aufwand</t>
        </is>
      </c>
      <c r="C285" s="16" t="inlineStr">
        <is>
          <t>Gewinn und Verlust</t>
        </is>
      </c>
      <c r="D285" s="17" t="n">
        <v>0</v>
      </c>
      <c r="E285" s="17" t="n">
        <v>74704.61</v>
      </c>
      <c r="F285" s="17" t="n">
        <v>27293.82</v>
      </c>
      <c r="G285" s="17">
        <f>D285+E285-F285</f>
        <v/>
      </c>
    </row>
    <row r="286" ht="15" customHeight="1" s="11">
      <c r="A286" s="16" t="inlineStr">
        <is>
          <t>799500</t>
        </is>
      </c>
      <c r="B286" s="16" t="inlineStr">
        <is>
          <t>Aufwand Abholung Recycling Material Weiterverr. (EPS und XPS</t>
        </is>
      </c>
      <c r="C286" s="16" t="inlineStr">
        <is>
          <t>Gewinn und Verlust</t>
        </is>
      </c>
      <c r="D286" s="17" t="n">
        <v>0</v>
      </c>
      <c r="E286" s="17" t="n">
        <v>7710</v>
      </c>
      <c r="F286" s="17" t="n">
        <v>0</v>
      </c>
      <c r="G286" s="17">
        <f>D286+E286-F286</f>
        <v/>
      </c>
    </row>
    <row r="287" ht="15" customHeight="1" s="11">
      <c r="A287" s="16" t="inlineStr">
        <is>
          <t>806000</t>
        </is>
      </c>
      <c r="B287" s="16" t="inlineStr">
        <is>
          <t>Zinsenerträge Banken</t>
        </is>
      </c>
      <c r="C287" s="16" t="inlineStr">
        <is>
          <t>Gewinn und Verlust</t>
        </is>
      </c>
      <c r="D287" s="17" t="n">
        <v>0</v>
      </c>
      <c r="E287" s="17" t="n">
        <v>0</v>
      </c>
      <c r="F287" s="17" t="n">
        <v>331.91</v>
      </c>
      <c r="G287" s="17">
        <f>D287+E287-F287</f>
        <v/>
      </c>
    </row>
    <row r="288" ht="15" customHeight="1" s="11">
      <c r="A288" s="16" t="inlineStr">
        <is>
          <t>830000</t>
        </is>
      </c>
      <c r="B288" s="16" t="inlineStr">
        <is>
          <t>Zinsaufwand</t>
        </is>
      </c>
      <c r="C288" s="16" t="inlineStr">
        <is>
          <t>Gewinn und Verlust</t>
        </is>
      </c>
      <c r="D288" s="17" t="n">
        <v>0</v>
      </c>
      <c r="E288" s="17" t="n">
        <v>326772.21</v>
      </c>
      <c r="F288" s="17" t="n">
        <v>253463.82</v>
      </c>
      <c r="G288" s="17">
        <f>D288+E288-F288</f>
        <v/>
      </c>
    </row>
    <row r="289" ht="15" customHeight="1" s="11">
      <c r="A289" s="16" t="inlineStr">
        <is>
          <t>830100</t>
        </is>
      </c>
      <c r="B289" s="16" t="inlineStr">
        <is>
          <t>Zinsaufwand Sonstiges</t>
        </is>
      </c>
      <c r="C289" s="16" t="inlineStr">
        <is>
          <t>Gewinn und Verlust</t>
        </is>
      </c>
      <c r="D289" s="17" t="n">
        <v>0</v>
      </c>
      <c r="E289" s="17" t="n">
        <v>3226</v>
      </c>
      <c r="F289" s="17" t="n">
        <v>0</v>
      </c>
      <c r="G289" s="17">
        <f>D289+E289-F289</f>
        <v/>
      </c>
    </row>
    <row r="290" ht="15" customHeight="1" s="11">
      <c r="A290" s="16" t="inlineStr">
        <is>
          <t>830200</t>
        </is>
      </c>
      <c r="B290" s="16" t="inlineStr">
        <is>
          <t>Zinsaufwand IC</t>
        </is>
      </c>
      <c r="C290" s="16" t="inlineStr">
        <is>
          <t>Gewinn und Verlust</t>
        </is>
      </c>
      <c r="D290" s="17" t="n">
        <v>0</v>
      </c>
      <c r="E290" s="17" t="n">
        <v>331418.72</v>
      </c>
      <c r="F290" s="17" t="n">
        <v>257028.11</v>
      </c>
      <c r="G290" s="17">
        <f>D290+E290-F290</f>
        <v/>
      </c>
    </row>
    <row r="291" ht="15" customHeight="1" s="11">
      <c r="A291" s="16" t="inlineStr">
        <is>
          <t>845000</t>
        </is>
      </c>
      <c r="B291" s="16" t="inlineStr">
        <is>
          <t>Außerordentlicher Aufwand</t>
        </is>
      </c>
      <c r="C291" s="16" t="inlineStr">
        <is>
          <t>Gewinn und Verlust</t>
        </is>
      </c>
      <c r="D291" s="17" t="n">
        <v>0</v>
      </c>
      <c r="E291" s="17" t="n">
        <v>4263.74</v>
      </c>
      <c r="F291" s="17" t="n">
        <v>0</v>
      </c>
      <c r="G291" s="17">
        <f>D291+E291-F291</f>
        <v/>
      </c>
    </row>
    <row r="292" ht="15" customHeight="1" s="11">
      <c r="A292" s="16" t="inlineStr">
        <is>
          <t>853000</t>
        </is>
      </c>
      <c r="B292" s="16" t="inlineStr">
        <is>
          <t>Körperschaftssteueraufwand</t>
        </is>
      </c>
      <c r="C292" s="16" t="inlineStr">
        <is>
          <t>Gewinn und Verlust</t>
        </is>
      </c>
      <c r="D292" s="17" t="n">
        <v>0</v>
      </c>
      <c r="E292" s="17" t="n">
        <v>748044.35</v>
      </c>
      <c r="F292" s="17" t="n">
        <v>335879.35</v>
      </c>
      <c r="G292" s="17">
        <f>D292+E292-F292</f>
        <v/>
      </c>
    </row>
    <row r="293" ht="15" customHeight="1" s="11">
      <c r="A293" s="16" t="inlineStr">
        <is>
          <t>855010</t>
        </is>
      </c>
      <c r="B293" s="16" t="inlineStr">
        <is>
          <t>Gewerbesteuer</t>
        </is>
      </c>
      <c r="C293" s="16" t="inlineStr">
        <is>
          <t>Gewinn und Verlust</t>
        </is>
      </c>
      <c r="D293" s="17" t="n">
        <v>0</v>
      </c>
      <c r="E293" s="17" t="n">
        <v>394317</v>
      </c>
      <c r="F293" s="17" t="n">
        <v>99877</v>
      </c>
      <c r="G293" s="17">
        <f>D293+E293-F293</f>
        <v/>
      </c>
    </row>
    <row r="294" ht="15" customHeight="1" s="11">
      <c r="A294" s="16" t="inlineStr">
        <is>
          <t>856000</t>
        </is>
      </c>
      <c r="B294" s="16" t="inlineStr">
        <is>
          <t>Ertragssteuern Vorjahre</t>
        </is>
      </c>
      <c r="C294" s="16" t="inlineStr">
        <is>
          <t>Gewinn und Verlust</t>
        </is>
      </c>
      <c r="D294" s="17" t="n">
        <v>0</v>
      </c>
      <c r="E294" s="17" t="n">
        <v>268888</v>
      </c>
      <c r="F294" s="17" t="n">
        <v>414893.35</v>
      </c>
      <c r="G294" s="17">
        <f>D294+E294-F294</f>
        <v/>
      </c>
    </row>
    <row r="295" ht="15" customHeight="1" s="11">
      <c r="A295" s="16" t="inlineStr">
        <is>
          <t>900000</t>
        </is>
      </c>
      <c r="B295" s="16" t="inlineStr">
        <is>
          <t>Durchläufer Buchhaltung</t>
        </is>
      </c>
      <c r="C295" s="16" t="inlineStr">
        <is>
          <t>Bilanz</t>
        </is>
      </c>
      <c r="D295" s="17" t="n">
        <v>0</v>
      </c>
      <c r="E295" s="17" t="n">
        <v>47939.49</v>
      </c>
      <c r="F295" s="17" t="n">
        <v>47939.49</v>
      </c>
      <c r="G295" s="17">
        <f>D295+E295-F295</f>
        <v/>
      </c>
    </row>
    <row r="296" ht="15" customHeight="1" s="11">
      <c r="A296" s="16" t="inlineStr">
        <is>
          <t>910000</t>
        </is>
      </c>
      <c r="B296" s="16" t="inlineStr">
        <is>
          <t>Stammkapital</t>
        </is>
      </c>
      <c r="C296" s="16" t="inlineStr">
        <is>
          <t>Bilanz</t>
        </is>
      </c>
      <c r="D296" s="17" t="n">
        <v>-100000</v>
      </c>
      <c r="E296" s="17" t="n">
        <v>0</v>
      </c>
      <c r="F296" s="17" t="n">
        <v>0</v>
      </c>
      <c r="G296" s="17">
        <f>D296+E296-F296</f>
        <v/>
      </c>
    </row>
    <row r="297" ht="15" customHeight="1" s="11">
      <c r="A297" s="16" t="inlineStr">
        <is>
          <t>921000</t>
        </is>
      </c>
      <c r="B297" s="16" t="inlineStr">
        <is>
          <t>Nicht gebundene Kapitalrücklagen</t>
        </is>
      </c>
      <c r="C297" s="16" t="inlineStr">
        <is>
          <t>Bilanz</t>
        </is>
      </c>
      <c r="D297" s="17" t="n">
        <v>-1400000</v>
      </c>
      <c r="E297" s="17" t="n">
        <v>0</v>
      </c>
      <c r="F297" s="17" t="n">
        <v>0</v>
      </c>
      <c r="G297" s="17">
        <f>D297+E297-F297</f>
        <v/>
      </c>
    </row>
    <row r="298" ht="15" customHeight="1" s="11">
      <c r="A298" s="16" t="inlineStr">
        <is>
          <t>940000</t>
        </is>
      </c>
      <c r="B298" s="16" t="inlineStr">
        <is>
          <t>Gewinn- und Verlustvorträge</t>
        </is>
      </c>
      <c r="C298" s="16" t="inlineStr">
        <is>
          <t>Bilanz</t>
        </is>
      </c>
      <c r="D298" s="17" t="n">
        <v>0</v>
      </c>
      <c r="E298" s="17" t="n">
        <v>0</v>
      </c>
      <c r="F298" s="17" t="n">
        <v>27763961.71</v>
      </c>
      <c r="G298" s="17">
        <f>D298+E298-F298</f>
        <v/>
      </c>
    </row>
    <row r="299" ht="15" customHeight="1" s="11">
      <c r="A299" s="16" t="inlineStr">
        <is>
          <t>941000</t>
        </is>
      </c>
      <c r="B299" s="16" t="inlineStr">
        <is>
          <t>Gewinnausschüttungen</t>
        </is>
      </c>
      <c r="C299" s="16" t="inlineStr">
        <is>
          <t>Bilanz</t>
        </is>
      </c>
      <c r="D299" s="17" t="n">
        <v>11800000</v>
      </c>
      <c r="E299" s="17" t="n">
        <v>380000</v>
      </c>
      <c r="F299" s="17" t="n">
        <v>0</v>
      </c>
      <c r="G299" s="17">
        <f>D299+E299-F299</f>
        <v/>
      </c>
    </row>
    <row r="300" ht="15" customHeight="1" s="11">
      <c r="A300" s="16" t="inlineStr">
        <is>
          <t>945000</t>
        </is>
      </c>
      <c r="B300" s="16" t="inlineStr">
        <is>
          <t>Jahresgewinn/Jahresverlust</t>
        </is>
      </c>
      <c r="C300" s="16" t="inlineStr">
        <is>
          <t>Bilanz</t>
        </is>
      </c>
      <c r="D300" s="17" t="n">
        <v>-27383044.63</v>
      </c>
      <c r="E300" s="17" t="n">
        <v>27763961.71</v>
      </c>
      <c r="F300" s="17" t="n">
        <v>380917.08</v>
      </c>
      <c r="G300" s="17">
        <f>D300+E300-F300</f>
        <v/>
      </c>
    </row>
    <row r="301" ht="15" customHeight="1" s="11">
      <c r="A301" s="16" t="inlineStr">
        <is>
          <t>960000</t>
        </is>
      </c>
      <c r="B301" s="16" t="inlineStr">
        <is>
          <t>Sonderförderung Bund/Land, div.</t>
        </is>
      </c>
      <c r="C301" s="16" t="inlineStr">
        <is>
          <t>Bilanz</t>
        </is>
      </c>
      <c r="D301" s="17" t="n">
        <v>-1705885.36</v>
      </c>
      <c r="E301" s="17" t="n">
        <v>0</v>
      </c>
      <c r="F301" s="17" t="n">
        <v>0</v>
      </c>
      <c r="G301" s="17">
        <f>D301+E301-F301</f>
        <v/>
      </c>
    </row>
    <row r="302" ht="15" customHeight="1" s="11">
      <c r="A302" s="16" t="inlineStr">
        <is>
          <t>960100</t>
        </is>
      </c>
      <c r="B302" s="16" t="inlineStr">
        <is>
          <t>Sonderförderung Bund/Land Inv.-Zulage</t>
        </is>
      </c>
      <c r="C302" s="16" t="inlineStr">
        <is>
          <t>Bilanz</t>
        </is>
      </c>
      <c r="D302" s="17" t="n">
        <v>-327940.99</v>
      </c>
      <c r="E302" s="17" t="n">
        <v>0</v>
      </c>
      <c r="F302" s="17" t="n">
        <v>0</v>
      </c>
      <c r="G302" s="17">
        <f>D302+E302-F302</f>
        <v/>
      </c>
    </row>
    <row r="303" ht="15" customHeight="1" s="11">
      <c r="A303" s="16" t="inlineStr">
        <is>
          <t>980000</t>
        </is>
      </c>
      <c r="B303" s="16" t="inlineStr">
        <is>
          <t>Gewinn- und Verlustkonto</t>
        </is>
      </c>
      <c r="C303" s="16" t="inlineStr">
        <is>
          <t>Bilanz</t>
        </is>
      </c>
      <c r="D303" s="17" t="n">
        <v>-380917.08</v>
      </c>
      <c r="E303" s="17" t="n">
        <v>380917.08</v>
      </c>
      <c r="F303" s="17" t="n">
        <v>0</v>
      </c>
      <c r="G303" s="17">
        <f>D303+E303-F303</f>
        <v/>
      </c>
    </row>
    <row r="304">
      <c r="A304" s="13" t="n"/>
      <c r="B304" s="13" t="inlineStr">
        <is>
          <t>Summe</t>
        </is>
      </c>
      <c r="C304" s="13" t="n"/>
      <c r="D304" s="18">
        <f>SUM(D6:D302)</f>
        <v/>
      </c>
      <c r="E304" s="18">
        <f>SUM(E6:E302)</f>
        <v/>
      </c>
      <c r="F304" s="18">
        <f>SUM(F6:F302)</f>
        <v/>
      </c>
      <c r="G304" s="18">
        <f>SUM(G6:G302)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2" customWidth="1" style="10" min="2" max="2"/>
    <col width="18" customWidth="1" style="10" min="3" max="3"/>
    <col width="70" customWidth="1" style="10" min="4" max="4"/>
  </cols>
  <sheetData>
    <row r="1" ht="15" customHeight="1" s="11">
      <c r="A1" s="12" t="inlineStr">
        <is>
          <t>Beispiel Dämmstoffe GmbH, Musterstadt</t>
        </is>
      </c>
    </row>
    <row r="2" ht="15" customHeight="1" s="11">
      <c r="A2" s="13" t="inlineStr">
        <is>
          <t>Überleitung Saldenliste --&gt; Jahresabschluss 2025 (HB II)</t>
        </is>
      </c>
    </row>
    <row r="3" ht="15" customHeight="1" s="11">
      <c r="A3" s="14" t="inlineStr">
        <is>
          <t>Beträge in EUR</t>
        </is>
      </c>
    </row>
    <row r="5" ht="15" customHeight="1" s="11">
      <c r="B5" s="16" t="inlineStr">
        <is>
          <t>Jahresergebnis laut Summen- und Saldenliste (Erfolgskonten)</t>
        </is>
      </c>
      <c r="C5" s="17">
        <f>-SUMIF('Saldenliste 2025'!C:C,"Gewinn und Verlust",'Saldenliste 2025'!G:G)</f>
        <v/>
      </c>
      <c r="D5" s="14" t="n"/>
    </row>
    <row r="6" ht="15" customHeight="1" s="11">
      <c r="B6" s="19" t="inlineStr">
        <is>
          <t>Top-Side-Adjustment TSA-2025-01: Drohverlustrückstellung Absatzmarkt PL</t>
        </is>
      </c>
      <c r="C6" s="20" t="n">
        <v>-850000</v>
      </c>
      <c r="D6" s="14" t="inlineStr">
        <is>
          <t>Manuelle Anpassung auf Ebene Jahresabschluss, NICHT im Hauptbuch gebucht (Vorstandsbeschluss 30.01.2026)</t>
        </is>
      </c>
    </row>
    <row r="7" ht="15" customHeight="1" s="11">
      <c r="B7" s="13" t="inlineStr">
        <is>
          <t>Jahresüberschuss laut Jahresabschluss (Entwurf)</t>
        </is>
      </c>
      <c r="C7" s="18">
        <f>C5+C6</f>
        <v/>
      </c>
      <c r="D7" s="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Beispiel Daemmstoffe GmbH</dc:creator>
  <dcterms:created xmlns:dcterms="http://purl.org/dc/terms/" xmlns:xsi="http://www.w3.org/2001/XMLSchema-instance" xsi:type="dcterms:W3CDTF">2026-07-18T12:52:24Z</dcterms:created>
  <dcterms:modified xmlns:dcterms="http://purl.org/dc/terms/" xmlns:xsi="http://www.w3.org/2001/XMLSchema-instance" xsi:type="dcterms:W3CDTF">2026-07-18T12:52:24Z</dcterms:modified>
  <cp:lastModifiedBy>Beispiel Daemmstoffe GmbH</cp:lastModifiedBy>
</cp:coreProperties>
</file>